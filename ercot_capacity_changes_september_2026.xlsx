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R:\GIS\2026\9-Sep 2026 Report\Support\"/>
    </mc:Choice>
  </mc:AlternateContent>
  <xr:revisionPtr revIDLastSave="0" documentId="13_ncr:1_{79BC4FDE-5EAD-4627-99F3-B35389E77229}" xr6:coauthVersionLast="47" xr6:coauthVersionMax="47" xr10:uidLastSave="{00000000-0000-0000-0000-000000000000}"/>
  <bookViews>
    <workbookView xWindow="28680" yWindow="1800" windowWidth="29040" windowHeight="15720" xr2:uid="{00000000-000D-0000-FFFF-FFFF00000000}"/>
  </bookViews>
  <sheets>
    <sheet name="Wind Chart" sheetId="6" r:id="rId1"/>
    <sheet name="Solar Chart" sheetId="5" r:id="rId2"/>
    <sheet name="Battery Chart" sheetId="4" r:id="rId3"/>
    <sheet name="Gas-Combined Cycle Chart" sheetId="7" r:id="rId4"/>
    <sheet name="Gas-Other Chart" sheetId="8" r:id="rId5"/>
  </sheets>
  <definedNames>
    <definedName name="_xlnm._FilterDatabase" localSheetId="1" hidden="1">'Solar Chart'!$I$1:$R$1</definedName>
    <definedName name="_xlnm._FilterDatabase" localSheetId="0" hidden="1">'Wind Chart'!$I$1:$R$62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2" i="6" l="1"/>
  <c r="B91" i="6"/>
  <c r="B90" i="6"/>
  <c r="B89" i="6"/>
  <c r="B88" i="6"/>
  <c r="B87" i="6"/>
  <c r="B86" i="6"/>
  <c r="B85" i="6"/>
  <c r="B84" i="6"/>
  <c r="B83" i="6"/>
  <c r="B81" i="6"/>
  <c r="B80" i="6"/>
  <c r="B79" i="6"/>
  <c r="B78" i="6"/>
  <c r="B77" i="6"/>
  <c r="B76" i="6"/>
  <c r="B75" i="6"/>
  <c r="B74" i="6"/>
  <c r="B60" i="5" l="1"/>
  <c r="B62" i="4" l="1"/>
  <c r="B74" i="4" l="1"/>
  <c r="B65" i="5" l="1"/>
  <c r="B73" i="5"/>
  <c r="B66" i="5"/>
  <c r="B70" i="5"/>
  <c r="B74" i="5"/>
  <c r="B61" i="5"/>
  <c r="B69" i="5"/>
  <c r="B62" i="5"/>
  <c r="B63" i="5"/>
  <c r="B67" i="5"/>
  <c r="B71" i="5"/>
  <c r="B75" i="5"/>
  <c r="B64" i="5"/>
  <c r="B68" i="5"/>
  <c r="B72" i="5"/>
  <c r="B76" i="5"/>
  <c r="B77" i="5"/>
  <c r="B103" i="5" s="1"/>
  <c r="B65" i="7" l="1"/>
  <c r="B67" i="7"/>
  <c r="B65" i="4"/>
  <c r="B73" i="4"/>
  <c r="B61" i="4"/>
  <c r="B69" i="4"/>
  <c r="B77" i="4"/>
  <c r="B62" i="7"/>
  <c r="B54" i="8"/>
  <c r="B62" i="8"/>
  <c r="B70" i="8"/>
  <c r="B56" i="8"/>
  <c r="B64" i="8"/>
  <c r="B59" i="8"/>
  <c r="B67" i="8"/>
  <c r="B57" i="7"/>
  <c r="B66" i="7"/>
  <c r="B71" i="8"/>
  <c r="B58" i="8"/>
  <c r="B66" i="8"/>
  <c r="B55" i="8"/>
  <c r="B57" i="8"/>
  <c r="B61" i="8"/>
  <c r="B63" i="8"/>
  <c r="B65" i="8"/>
  <c r="B69" i="8"/>
  <c r="B60" i="8"/>
  <c r="B68" i="8"/>
  <c r="B55" i="7"/>
  <c r="B59" i="7"/>
  <c r="B70" i="7"/>
  <c r="B63" i="7"/>
  <c r="B71" i="7"/>
  <c r="B58" i="7"/>
  <c r="B60" i="7"/>
  <c r="B68" i="7"/>
  <c r="B61" i="7"/>
  <c r="B69" i="7"/>
  <c r="B64" i="7"/>
  <c r="B72" i="7"/>
  <c r="B56" i="7"/>
  <c r="B63" i="4"/>
  <c r="B71" i="4"/>
  <c r="B66" i="4"/>
  <c r="B67" i="4"/>
  <c r="B75" i="4"/>
  <c r="B64" i="4"/>
  <c r="B68" i="4"/>
  <c r="B70" i="4"/>
  <c r="B72" i="4"/>
  <c r="B76" i="4"/>
  <c r="B78" i="4"/>
</calcChain>
</file>

<file path=xl/sharedStrings.xml><?xml version="1.0" encoding="utf-8"?>
<sst xmlns="http://schemas.openxmlformats.org/spreadsheetml/2006/main" count="1394" uniqueCount="562">
  <si>
    <t>INR</t>
  </si>
  <si>
    <t>Project Name</t>
  </si>
  <si>
    <t>County</t>
  </si>
  <si>
    <t>Projected COD</t>
  </si>
  <si>
    <t>IA Signed</t>
  </si>
  <si>
    <t>Fuel</t>
  </si>
  <si>
    <t>Technology</t>
  </si>
  <si>
    <t>Capacity (MW)</t>
  </si>
  <si>
    <t>Year</t>
  </si>
  <si>
    <t>Financial Security</t>
  </si>
  <si>
    <t>Navarro</t>
  </si>
  <si>
    <t>No</t>
  </si>
  <si>
    <t>Yes</t>
  </si>
  <si>
    <t>Fort Bend</t>
  </si>
  <si>
    <t>Brazoria</t>
  </si>
  <si>
    <t>IA Signed-Financial Security Posted</t>
  </si>
  <si>
    <t>IA Signed-No Financial Security</t>
  </si>
  <si>
    <t>Wharton</t>
  </si>
  <si>
    <t>Battery</t>
  </si>
  <si>
    <t>BA</t>
  </si>
  <si>
    <t>Pecos</t>
  </si>
  <si>
    <t>Solar</t>
  </si>
  <si>
    <t>PV</t>
  </si>
  <si>
    <t>Lamar</t>
  </si>
  <si>
    <t>Jackson</t>
  </si>
  <si>
    <t>Hill</t>
  </si>
  <si>
    <t>Wind</t>
  </si>
  <si>
    <t>WT</t>
  </si>
  <si>
    <t>Nolan</t>
  </si>
  <si>
    <t>Callahan</t>
  </si>
  <si>
    <t>18INR0073</t>
  </si>
  <si>
    <t>Sweetwater 1 repower</t>
  </si>
  <si>
    <t>Gas</t>
  </si>
  <si>
    <t>CC</t>
  </si>
  <si>
    <t>Harris</t>
  </si>
  <si>
    <t>20INR0286</t>
  </si>
  <si>
    <t>Wise County Power Repower (CT1, CT2)</t>
  </si>
  <si>
    <t>Wise</t>
  </si>
  <si>
    <t>GT</t>
  </si>
  <si>
    <t>Month/Year</t>
  </si>
  <si>
    <t>Other Planned</t>
  </si>
  <si>
    <t>Matagorda</t>
  </si>
  <si>
    <t>Milam</t>
  </si>
  <si>
    <t>Cumulative operational, No FS, and FS Posted</t>
  </si>
  <si>
    <t>Small Generator</t>
  </si>
  <si>
    <t xml:space="preserve">Cumulative MW Operational </t>
  </si>
  <si>
    <t>San Patricio</t>
  </si>
  <si>
    <t>Jim Wells</t>
  </si>
  <si>
    <t>Small Generators</t>
  </si>
  <si>
    <t>Robertson</t>
  </si>
  <si>
    <t>Ector</t>
  </si>
  <si>
    <t>Henderson</t>
  </si>
  <si>
    <t>Galveston</t>
  </si>
  <si>
    <t>Bexar</t>
  </si>
  <si>
    <t>23INR0150</t>
  </si>
  <si>
    <t>Cradle Solar</t>
  </si>
  <si>
    <t>16INR0112</t>
  </si>
  <si>
    <t>Loma Pinta Wind</t>
  </si>
  <si>
    <t>La Salle</t>
  </si>
  <si>
    <t>Van Zandt</t>
  </si>
  <si>
    <t>24INR0281</t>
  </si>
  <si>
    <t>Red Egret BESS</t>
  </si>
  <si>
    <t>Deaf Smith</t>
  </si>
  <si>
    <t>Jack</t>
  </si>
  <si>
    <t>Bee</t>
  </si>
  <si>
    <t>Haskell</t>
  </si>
  <si>
    <t>Jones</t>
  </si>
  <si>
    <t>22INR0559</t>
  </si>
  <si>
    <t>23INR0392</t>
  </si>
  <si>
    <t>Honeycomb Storage SLF</t>
  </si>
  <si>
    <t>Live Oak</t>
  </si>
  <si>
    <t>24INR0472</t>
  </si>
  <si>
    <t>Amador Storage</t>
  </si>
  <si>
    <t>23INR0487</t>
  </si>
  <si>
    <t>Brightside Solar Alt POI</t>
  </si>
  <si>
    <t>Honeycomb Solar SLF</t>
  </si>
  <si>
    <t>Coryell</t>
  </si>
  <si>
    <t>22INR0262</t>
  </si>
  <si>
    <t>25INR0232</t>
  </si>
  <si>
    <t>Isaac Solar</t>
  </si>
  <si>
    <t>26INR0296</t>
  </si>
  <si>
    <t>Sherbino II BESS SLF</t>
  </si>
  <si>
    <t>Freestone</t>
  </si>
  <si>
    <t>25INR0169</t>
  </si>
  <si>
    <t>Piedra BESS</t>
  </si>
  <si>
    <t>Taylor</t>
  </si>
  <si>
    <t>22INR0301</t>
  </si>
  <si>
    <t>Fortuna Wind</t>
  </si>
  <si>
    <t>Atascosa</t>
  </si>
  <si>
    <t>21INR0334</t>
  </si>
  <si>
    <t>Uvalde</t>
  </si>
  <si>
    <t>Limestone</t>
  </si>
  <si>
    <t>Reeves</t>
  </si>
  <si>
    <t>Leon</t>
  </si>
  <si>
    <t>Refugio</t>
  </si>
  <si>
    <t>Borden</t>
  </si>
  <si>
    <t>22INR0558</t>
  </si>
  <si>
    <t>Callisto II Energy Center</t>
  </si>
  <si>
    <t>25INR0271</t>
  </si>
  <si>
    <t>City Breeze BESS</t>
  </si>
  <si>
    <t>25INR0199</t>
  </si>
  <si>
    <t>21INR0362</t>
  </si>
  <si>
    <t>Oystercatcher Solar</t>
  </si>
  <si>
    <t>Ellis</t>
  </si>
  <si>
    <t>Franklin</t>
  </si>
  <si>
    <t>25INR0688</t>
  </si>
  <si>
    <t>Giga Texas Data Center</t>
  </si>
  <si>
    <t>Travis</t>
  </si>
  <si>
    <t>Sequoia II Solar</t>
  </si>
  <si>
    <t>21INR0253</t>
  </si>
  <si>
    <t>Ulysses Solar</t>
  </si>
  <si>
    <t>Coke</t>
  </si>
  <si>
    <t>22INR0504</t>
  </si>
  <si>
    <t>Barton Branch IA</t>
  </si>
  <si>
    <t>26INR0574</t>
  </si>
  <si>
    <t>Apple BESS</t>
  </si>
  <si>
    <t>Nightfall Solar</t>
  </si>
  <si>
    <t>23INR0231</t>
  </si>
  <si>
    <t>Gonzales</t>
  </si>
  <si>
    <t>21INR0391</t>
  </si>
  <si>
    <t>Grandslam Solar</t>
  </si>
  <si>
    <t>19INR0103</t>
  </si>
  <si>
    <t>Rodeo Solar</t>
  </si>
  <si>
    <t>Andrews</t>
  </si>
  <si>
    <t>21INR0421</t>
  </si>
  <si>
    <t>Armadillo Solar</t>
  </si>
  <si>
    <t>22INR0503</t>
  </si>
  <si>
    <t>Tidwell Prairie II Batt</t>
  </si>
  <si>
    <t>25INR0101</t>
  </si>
  <si>
    <t>Collin</t>
  </si>
  <si>
    <t>23INR0232</t>
  </si>
  <si>
    <t>25INR0231</t>
  </si>
  <si>
    <t>Apache Hill BESS</t>
  </si>
  <si>
    <t>Hood</t>
  </si>
  <si>
    <t>26INR0375</t>
  </si>
  <si>
    <t>Avalon BESS</t>
  </si>
  <si>
    <t>20INR0246</t>
  </si>
  <si>
    <t>Ryan Energy Storage</t>
  </si>
  <si>
    <t>26INR0201</t>
  </si>
  <si>
    <t>22INR0552</t>
  </si>
  <si>
    <t>Sowers Storage</t>
  </si>
  <si>
    <t>Kaufman</t>
  </si>
  <si>
    <t>Bonham Solar SLF</t>
  </si>
  <si>
    <t>22INR0605</t>
  </si>
  <si>
    <t>Camino Santiago Solar</t>
  </si>
  <si>
    <t>26INR0636</t>
  </si>
  <si>
    <t>Lyra Storage</t>
  </si>
  <si>
    <t>26INR0250</t>
  </si>
  <si>
    <t>Duffy BESS</t>
  </si>
  <si>
    <t>25INR0253</t>
  </si>
  <si>
    <t>Whiskey BESS</t>
  </si>
  <si>
    <t>Chambers</t>
  </si>
  <si>
    <t>24INR0274</t>
  </si>
  <si>
    <t>Bufflehead BESS</t>
  </si>
  <si>
    <t>26INR0622</t>
  </si>
  <si>
    <t>Buffalo Gap 1 Wind Repower</t>
  </si>
  <si>
    <t>26INR0625</t>
  </si>
  <si>
    <t>Buffalo Gap 2 Wind Repower</t>
  </si>
  <si>
    <t>26INR0626</t>
  </si>
  <si>
    <t>Buffalo Gap 3 Wind Repower</t>
  </si>
  <si>
    <t>24INR0137</t>
  </si>
  <si>
    <t>Eagle Springs Solar</t>
  </si>
  <si>
    <t>Delta</t>
  </si>
  <si>
    <t>24INR0188</t>
  </si>
  <si>
    <t>Tehuacana Creek Solar</t>
  </si>
  <si>
    <t>22INR0437</t>
  </si>
  <si>
    <t>TORMES SOLAR</t>
  </si>
  <si>
    <t>28INR0154</t>
  </si>
  <si>
    <t>Pamela Heights I</t>
  </si>
  <si>
    <t>Drake BESS</t>
  </si>
  <si>
    <t>24INR0210</t>
  </si>
  <si>
    <t>Raven Storage</t>
  </si>
  <si>
    <t>Rock Rose BESS</t>
  </si>
  <si>
    <t>24INR0136</t>
  </si>
  <si>
    <t>Eagle Springs Storage</t>
  </si>
  <si>
    <t>24INR0355</t>
  </si>
  <si>
    <t>Anatole Renewable Energy Storage</t>
  </si>
  <si>
    <t>26INR0340</t>
  </si>
  <si>
    <t>SOUTHERN SELECT ENERGY STORAGE</t>
  </si>
  <si>
    <t>25INR0018</t>
  </si>
  <si>
    <t>Yellow Cat Wind</t>
  </si>
  <si>
    <t>22INR0454</t>
  </si>
  <si>
    <t>Culberson</t>
  </si>
  <si>
    <t>24INR0154</t>
  </si>
  <si>
    <t>Lupinus Solar 2</t>
  </si>
  <si>
    <t>25INR0164</t>
  </si>
  <si>
    <t>Star Dairy Solar</t>
  </si>
  <si>
    <t>25INR0382</t>
  </si>
  <si>
    <t>HappyDogSolar</t>
  </si>
  <si>
    <t>23INR0235</t>
  </si>
  <si>
    <t>Hoyte Solar</t>
  </si>
  <si>
    <t>23INR0086</t>
  </si>
  <si>
    <t>Hanson Solar</t>
  </si>
  <si>
    <t>Coleman</t>
  </si>
  <si>
    <t>23INR0027</t>
  </si>
  <si>
    <t>Wilson</t>
  </si>
  <si>
    <t>23INR0207</t>
  </si>
  <si>
    <t>El Patrimonio Solar</t>
  </si>
  <si>
    <t>24INR0155</t>
  </si>
  <si>
    <t>Lupinus Storage 2</t>
  </si>
  <si>
    <t>25INR0334</t>
  </si>
  <si>
    <t>Star Dairy Storage</t>
  </si>
  <si>
    <t>25INR0442</t>
  </si>
  <si>
    <t>Happy Dog Storage</t>
  </si>
  <si>
    <t>23INR0331</t>
  </si>
  <si>
    <t>Orange Grove BESS</t>
  </si>
  <si>
    <t>26INR0718</t>
  </si>
  <si>
    <t>PHOTON SOLAR REPOWERING</t>
  </si>
  <si>
    <t>21INR0428</t>
  </si>
  <si>
    <t>Pecan Prairie North</t>
  </si>
  <si>
    <t>23INR0289</t>
  </si>
  <si>
    <t>Skull Creek Solar</t>
  </si>
  <si>
    <t>Anderson</t>
  </si>
  <si>
    <t>26INR0524</t>
  </si>
  <si>
    <t>Fagus Solar Park 3 SLF</t>
  </si>
  <si>
    <t>Childress</t>
  </si>
  <si>
    <t>Upton</t>
  </si>
  <si>
    <t>25INR0384</t>
  </si>
  <si>
    <t>Zorro BESS</t>
  </si>
  <si>
    <t>25INR0432</t>
  </si>
  <si>
    <t>Brotherton Storage</t>
  </si>
  <si>
    <t>23INR0637</t>
  </si>
  <si>
    <t>Goodnight Wind II</t>
  </si>
  <si>
    <t>Armstrong</t>
  </si>
  <si>
    <t>Victoria</t>
  </si>
  <si>
    <t>Wallace Solar</t>
  </si>
  <si>
    <t>21INR0341</t>
  </si>
  <si>
    <t>Space City Solar</t>
  </si>
  <si>
    <t>23INR0045</t>
  </si>
  <si>
    <t>Caney Creek Solar</t>
  </si>
  <si>
    <t>23INR0244</t>
  </si>
  <si>
    <t>Tiger Solar</t>
  </si>
  <si>
    <t>McLennan</t>
  </si>
  <si>
    <t>25INR0225</t>
  </si>
  <si>
    <t>Lucy Solar</t>
  </si>
  <si>
    <t>Concho</t>
  </si>
  <si>
    <t>25INR0616</t>
  </si>
  <si>
    <t>Bobcat Bluff Storage SLF</t>
  </si>
  <si>
    <t>Archer</t>
  </si>
  <si>
    <t>22INR0239</t>
  </si>
  <si>
    <t>Rockefeller Storage</t>
  </si>
  <si>
    <t>Schleicher</t>
  </si>
  <si>
    <t>27INR0181</t>
  </si>
  <si>
    <t>Elk Unit 4</t>
  </si>
  <si>
    <t>Hale</t>
  </si>
  <si>
    <t>24INR0291</t>
  </si>
  <si>
    <t>Rubicon Alpha Wind</t>
  </si>
  <si>
    <t>29INR0015</t>
  </si>
  <si>
    <t>Funston Solar</t>
  </si>
  <si>
    <t>26INR0269</t>
  </si>
  <si>
    <t>Moccasin Solar</t>
  </si>
  <si>
    <t>Stonewall</t>
  </si>
  <si>
    <t>25INR0081</t>
  </si>
  <si>
    <t>SanPat Solar I</t>
  </si>
  <si>
    <t>21INR0520</t>
  </si>
  <si>
    <t>Yellow Viking Solar</t>
  </si>
  <si>
    <t>Somervell</t>
  </si>
  <si>
    <t>25INR0052</t>
  </si>
  <si>
    <t>SanPat Solar II</t>
  </si>
  <si>
    <t>26INR0155</t>
  </si>
  <si>
    <t>Ross Solar</t>
  </si>
  <si>
    <t>25INR0131</t>
  </si>
  <si>
    <t>SOSA Storage</t>
  </si>
  <si>
    <t>Madison</t>
  </si>
  <si>
    <t>26INR0034</t>
  </si>
  <si>
    <t>Bracero Pecan Storage</t>
  </si>
  <si>
    <t>25INR0473</t>
  </si>
  <si>
    <t>Crowded Star I BESS</t>
  </si>
  <si>
    <t>24INR0386</t>
  </si>
  <si>
    <t>Black &amp; Gold Energy Storage</t>
  </si>
  <si>
    <t>Menard</t>
  </si>
  <si>
    <t>26INR0156</t>
  </si>
  <si>
    <t>Ross Storage</t>
  </si>
  <si>
    <t>27INR0367</t>
  </si>
  <si>
    <t>Goat Mountain Wind-Repower</t>
  </si>
  <si>
    <t>Sterling</t>
  </si>
  <si>
    <t>Hoke Solar</t>
  </si>
  <si>
    <t>25INR0102</t>
  </si>
  <si>
    <t>Austin Bayou Solar</t>
  </si>
  <si>
    <t>22INR0220</t>
  </si>
  <si>
    <t>Lamkin Solar</t>
  </si>
  <si>
    <t>Comanche</t>
  </si>
  <si>
    <t>22INR0342</t>
  </si>
  <si>
    <t>Matagorda Solar</t>
  </si>
  <si>
    <t>23INR0349</t>
  </si>
  <si>
    <t>Tokio Solar</t>
  </si>
  <si>
    <t>24INR0106</t>
  </si>
  <si>
    <t>Payne Battlecreek</t>
  </si>
  <si>
    <t>23INR0040</t>
  </si>
  <si>
    <t>Dori BQ Solar</t>
  </si>
  <si>
    <t>16INR0049</t>
  </si>
  <si>
    <t>Nazareth Solar</t>
  </si>
  <si>
    <t>Castro</t>
  </si>
  <si>
    <t>21INR0210</t>
  </si>
  <si>
    <t>Adamstown Solar</t>
  </si>
  <si>
    <t>Wilbarger</t>
  </si>
  <si>
    <t>25INR0189</t>
  </si>
  <si>
    <t>Staccato BESS</t>
  </si>
  <si>
    <t>Fayette</t>
  </si>
  <si>
    <t>Hoke Storage</t>
  </si>
  <si>
    <t>25INR0301</t>
  </si>
  <si>
    <t>Van Zandt Energy Storage</t>
  </si>
  <si>
    <t>23INR0421</t>
  </si>
  <si>
    <t>Bee Branch IA</t>
  </si>
  <si>
    <t>25INR0235</t>
  </si>
  <si>
    <t>Austin Bayou Storage I</t>
  </si>
  <si>
    <t>25INR0236</t>
  </si>
  <si>
    <t>Austin Bayou Storage II</t>
  </si>
  <si>
    <t>25INR0237</t>
  </si>
  <si>
    <t>Austin Bayou Storage III</t>
  </si>
  <si>
    <t>25INR0417</t>
  </si>
  <si>
    <t>Mesa View Storage</t>
  </si>
  <si>
    <t>24INR0196</t>
  </si>
  <si>
    <t>Dori BQ BESS</t>
  </si>
  <si>
    <t>24INR0712</t>
  </si>
  <si>
    <t xml:space="preserve">Byrd Ranch Repower </t>
  </si>
  <si>
    <t>26INR0702</t>
  </si>
  <si>
    <t>Bexar Martinez BESS</t>
  </si>
  <si>
    <t>23INR0603</t>
  </si>
  <si>
    <t>Damon BESS 2</t>
  </si>
  <si>
    <t>21INR0263</t>
  </si>
  <si>
    <t>Monarch Creek Wind</t>
  </si>
  <si>
    <t>Throckmorton</t>
  </si>
  <si>
    <t>21INR0371</t>
  </si>
  <si>
    <t>Pecan Prairie South</t>
  </si>
  <si>
    <t>24INR0150</t>
  </si>
  <si>
    <t>Lupinus Solar 1</t>
  </si>
  <si>
    <t>27INR0434</t>
  </si>
  <si>
    <t>Lyra Solar</t>
  </si>
  <si>
    <t>21INR0031</t>
  </si>
  <si>
    <t>Indigo Solar</t>
  </si>
  <si>
    <t>Fisher</t>
  </si>
  <si>
    <t>25INR0204</t>
  </si>
  <si>
    <t>Hopkins</t>
  </si>
  <si>
    <t>26INR0380</t>
  </si>
  <si>
    <t>Pepper Solar Farm</t>
  </si>
  <si>
    <t>26INR0409</t>
  </si>
  <si>
    <t>Lucky 7 Solar</t>
  </si>
  <si>
    <t>27INR0049</t>
  </si>
  <si>
    <t>Darkwood Solar</t>
  </si>
  <si>
    <t>26INR0385</t>
  </si>
  <si>
    <t>Nanulak BESS</t>
  </si>
  <si>
    <t>23INR0342</t>
  </si>
  <si>
    <t>Brizo BESS</t>
  </si>
  <si>
    <t>27INR0173</t>
  </si>
  <si>
    <t>Trenno BESS</t>
  </si>
  <si>
    <t>Johnson</t>
  </si>
  <si>
    <t>25INR0122</t>
  </si>
  <si>
    <t>Vial BESS</t>
  </si>
  <si>
    <t>26INR0551</t>
  </si>
  <si>
    <t>Hastings Park BESS</t>
  </si>
  <si>
    <t>26INR0330</t>
  </si>
  <si>
    <t>Alamo City BESS</t>
  </si>
  <si>
    <t>26INR0033</t>
  </si>
  <si>
    <t>Fairway Storage</t>
  </si>
  <si>
    <t>26INR0714</t>
  </si>
  <si>
    <t>Pavlov BESS2</t>
  </si>
  <si>
    <t>25INR0494</t>
  </si>
  <si>
    <t>Willow Beach Wind</t>
  </si>
  <si>
    <t>Cedar Range Solar</t>
  </si>
  <si>
    <t>Nueces</t>
  </si>
  <si>
    <t>24INR0167</t>
  </si>
  <si>
    <t>OCI SunRoper</t>
  </si>
  <si>
    <t>24INR0326</t>
  </si>
  <si>
    <t>Blarney Solar</t>
  </si>
  <si>
    <t>23INR0056</t>
  </si>
  <si>
    <t>Caliche Mound Solar</t>
  </si>
  <si>
    <t>Waller</t>
  </si>
  <si>
    <t>26INR0241</t>
  </si>
  <si>
    <t>23INR0140</t>
  </si>
  <si>
    <t>Seine BESS</t>
  </si>
  <si>
    <t>Foard</t>
  </si>
  <si>
    <t>25INR0480</t>
  </si>
  <si>
    <t>Bell Creek BESS</t>
  </si>
  <si>
    <t>26INR0314</t>
  </si>
  <si>
    <t>Brazos River BESS</t>
  </si>
  <si>
    <t>25INR0601</t>
  </si>
  <si>
    <t>East Bernard BESS</t>
  </si>
  <si>
    <t>25INR0604</t>
  </si>
  <si>
    <t>Pledger BESS</t>
  </si>
  <si>
    <t>25INR0769</t>
  </si>
  <si>
    <t>Kleimann BESS</t>
  </si>
  <si>
    <t>Colorado</t>
  </si>
  <si>
    <t>26INR0130</t>
  </si>
  <si>
    <t>Elm Flats Solar SLF</t>
  </si>
  <si>
    <t>24INR0298</t>
  </si>
  <si>
    <t>27INR0198</t>
  </si>
  <si>
    <t>Musgravite Solar</t>
  </si>
  <si>
    <t>25INR0281</t>
  </si>
  <si>
    <t>Cosper Solar</t>
  </si>
  <si>
    <t>Bell</t>
  </si>
  <si>
    <t>26INR0621</t>
  </si>
  <si>
    <t>Juno 3 Solar</t>
  </si>
  <si>
    <t>27INR0500</t>
  </si>
  <si>
    <t>Antila Solar</t>
  </si>
  <si>
    <t>24INR0496</t>
  </si>
  <si>
    <t>Indigo Storage</t>
  </si>
  <si>
    <t>26INR0131</t>
  </si>
  <si>
    <t>Elm Flats Storage SLF</t>
  </si>
  <si>
    <t>26INR0226</t>
  </si>
  <si>
    <t>First Capitol BESS</t>
  </si>
  <si>
    <t>25INR0375</t>
  </si>
  <si>
    <t>NavBoot BESS</t>
  </si>
  <si>
    <t>25INR0768</t>
  </si>
  <si>
    <t>Stafford Hill BESS</t>
  </si>
  <si>
    <t>26INR0021</t>
  </si>
  <si>
    <t>Crossroads Wind</t>
  </si>
  <si>
    <t>23INR0561</t>
  </si>
  <si>
    <t>Cascabel Wind 2</t>
  </si>
  <si>
    <t>Zapata</t>
  </si>
  <si>
    <t>24INR0424</t>
  </si>
  <si>
    <t>Cascabel Wind 1</t>
  </si>
  <si>
    <t>24INR0505</t>
  </si>
  <si>
    <t>Corralitos Wind 1</t>
  </si>
  <si>
    <t>20INR0247</t>
  </si>
  <si>
    <t>Water Valley Wind Energy</t>
  </si>
  <si>
    <t>Tom Green</t>
  </si>
  <si>
    <t>24INR0506</t>
  </si>
  <si>
    <t>Corralitos Wind 2</t>
  </si>
  <si>
    <t>27INR0004</t>
  </si>
  <si>
    <t>Dundee West Wind</t>
  </si>
  <si>
    <t>27INR0005</t>
  </si>
  <si>
    <t>Dundee East A Wind</t>
  </si>
  <si>
    <t>Baylor</t>
  </si>
  <si>
    <t>27INR0011</t>
  </si>
  <si>
    <t>Dundee East B Wind</t>
  </si>
  <si>
    <t>27INR0056</t>
  </si>
  <si>
    <t>Laurel Wind Energy Center</t>
  </si>
  <si>
    <t>Clear Fork Creek Solar</t>
  </si>
  <si>
    <t>25INR0422</t>
  </si>
  <si>
    <t>Waterloo Solar 1</t>
  </si>
  <si>
    <t>Bastrop</t>
  </si>
  <si>
    <t>24INR0161</t>
  </si>
  <si>
    <t>Miranda Solar Project</t>
  </si>
  <si>
    <t>McMullen</t>
  </si>
  <si>
    <t>Leighton Solar</t>
  </si>
  <si>
    <t>24INR0038</t>
  </si>
  <si>
    <t>Jaguar Solar</t>
  </si>
  <si>
    <t>20INR0255</t>
  </si>
  <si>
    <t>Renegade Project</t>
  </si>
  <si>
    <t>24INR0201</t>
  </si>
  <si>
    <t>Short Creek Solar</t>
  </si>
  <si>
    <t>Wichita</t>
  </si>
  <si>
    <t>24INR0186</t>
  </si>
  <si>
    <t>Rowdy Creek Solar</t>
  </si>
  <si>
    <t>27INR0313</t>
  </si>
  <si>
    <t>Spindletop Solar</t>
  </si>
  <si>
    <t>Nacogdoches</t>
  </si>
  <si>
    <t>25INR0304</t>
  </si>
  <si>
    <t>Flying Kite Solar</t>
  </si>
  <si>
    <t>Zavala</t>
  </si>
  <si>
    <t>22INR0455</t>
  </si>
  <si>
    <t>Blue Sky Sol</t>
  </si>
  <si>
    <t>Crockett</t>
  </si>
  <si>
    <t>23INR0057</t>
  </si>
  <si>
    <t>Duffy Solar</t>
  </si>
  <si>
    <t>24INR0404</t>
  </si>
  <si>
    <t>Tres Rios Ranch Solar</t>
  </si>
  <si>
    <t>25INR0229</t>
  </si>
  <si>
    <t>OCI Cobb Creek Solar</t>
  </si>
  <si>
    <t>25INR0482</t>
  </si>
  <si>
    <t>Vault Solar</t>
  </si>
  <si>
    <t>Palo Pinto</t>
  </si>
  <si>
    <t>27INR0127</t>
  </si>
  <si>
    <t>Bigway Solar I</t>
  </si>
  <si>
    <t>King</t>
  </si>
  <si>
    <t>27INR0128</t>
  </si>
  <si>
    <t>Bigway Solar II</t>
  </si>
  <si>
    <t>25INR0528</t>
  </si>
  <si>
    <t>Indigo Storage 2</t>
  </si>
  <si>
    <t>25INR0529</t>
  </si>
  <si>
    <t>Indigo Storage 3</t>
  </si>
  <si>
    <t>25INR0530</t>
  </si>
  <si>
    <t>Indigo Storage 4</t>
  </si>
  <si>
    <t>22INR0457</t>
  </si>
  <si>
    <t>Anson BAT</t>
  </si>
  <si>
    <t>23INR0290</t>
  </si>
  <si>
    <t>Zeya BESS</t>
  </si>
  <si>
    <t>26INR0474</t>
  </si>
  <si>
    <t>Sorghum BESS</t>
  </si>
  <si>
    <t>27INR0485</t>
  </si>
  <si>
    <t>Blackland Prairie 1 Energy Storage</t>
  </si>
  <si>
    <t>25INR0230</t>
  </si>
  <si>
    <t>Great Rock BESS</t>
  </si>
  <si>
    <t>21INR0444</t>
  </si>
  <si>
    <t>Long Point Storage</t>
  </si>
  <si>
    <t>23INR0216</t>
  </si>
  <si>
    <t>Venus Mill Storage</t>
  </si>
  <si>
    <t>25INR0441</t>
  </si>
  <si>
    <t>Dios BESS</t>
  </si>
  <si>
    <t>25INR0451</t>
  </si>
  <si>
    <t>Tres Rios Ranch BESS</t>
  </si>
  <si>
    <t>26INR0647</t>
  </si>
  <si>
    <t>Wake Wind Energy Repower</t>
  </si>
  <si>
    <t>Crosby</t>
  </si>
  <si>
    <t>Sol Marina SLF Energy Center</t>
  </si>
  <si>
    <t>25INR0430</t>
  </si>
  <si>
    <t>Hackberry Creek Solar</t>
  </si>
  <si>
    <t>Mitchell</t>
  </si>
  <si>
    <t>25INR0174</t>
  </si>
  <si>
    <t>Concho Pearl Solar</t>
  </si>
  <si>
    <t>23INR0091</t>
  </si>
  <si>
    <t>Cascade Solar</t>
  </si>
  <si>
    <t>24INR0440</t>
  </si>
  <si>
    <t>Starling Solar</t>
  </si>
  <si>
    <t>25INR0368</t>
  </si>
  <si>
    <t>Echols Grove Solar</t>
  </si>
  <si>
    <t>25INR0133</t>
  </si>
  <si>
    <t>Rose Quartz BESS</t>
  </si>
  <si>
    <t>Dimmit</t>
  </si>
  <si>
    <t>24INR0392</t>
  </si>
  <si>
    <t>Riverwalk BESS</t>
  </si>
  <si>
    <t>25INR0371</t>
  </si>
  <si>
    <t>McMurtre Storage</t>
  </si>
  <si>
    <t>Hunt</t>
  </si>
  <si>
    <t>24INR0178</t>
  </si>
  <si>
    <t>Cumulus Grid BESS</t>
  </si>
  <si>
    <t>26INR0417</t>
  </si>
  <si>
    <t>GAMAY ENERGY STORAGE</t>
  </si>
  <si>
    <t>25INR0175</t>
  </si>
  <si>
    <t>Concho Pearl Storage</t>
  </si>
  <si>
    <t>23INR0137</t>
  </si>
  <si>
    <t>Diran BESS</t>
  </si>
  <si>
    <t>26INR0773</t>
  </si>
  <si>
    <t>Seaway BESS</t>
  </si>
  <si>
    <t>26INR0774</t>
  </si>
  <si>
    <t>Wallis BESS2</t>
  </si>
  <si>
    <t>Austin</t>
  </si>
  <si>
    <t>26INR0734</t>
  </si>
  <si>
    <t>Alamo Street BESS2</t>
  </si>
  <si>
    <t>26INR0111</t>
  </si>
  <si>
    <t>Graphic Packaging Gas</t>
  </si>
  <si>
    <t>26INR0261</t>
  </si>
  <si>
    <t>Bastrop Peaking Generators (TEF-Due Diligence)</t>
  </si>
  <si>
    <t>28INR0089</t>
  </si>
  <si>
    <t>EmberYork</t>
  </si>
  <si>
    <t>28INR0090</t>
  </si>
  <si>
    <t>EmberGreen</t>
  </si>
  <si>
    <t>27INR0438</t>
  </si>
  <si>
    <t>Wisdom Solar SLF</t>
  </si>
  <si>
    <t>20INR0086</t>
  </si>
  <si>
    <t>Arroyo Solar</t>
  </si>
  <si>
    <t>Cameron</t>
  </si>
  <si>
    <t>25INR0170</t>
  </si>
  <si>
    <t>Pinewood Solar</t>
  </si>
  <si>
    <t>27INR0440</t>
  </si>
  <si>
    <t>Wisdom BESS SLF</t>
  </si>
  <si>
    <t>25INR0391</t>
  </si>
  <si>
    <t>Purple Sage BESS 1</t>
  </si>
  <si>
    <t>25INR0392</t>
  </si>
  <si>
    <t>Purple Sage BESS 2</t>
  </si>
  <si>
    <t>23INR0425</t>
  </si>
  <si>
    <t>Coneflower Storage Project</t>
  </si>
  <si>
    <t>26INR0189</t>
  </si>
  <si>
    <t>Skipjack Energy Storage</t>
  </si>
  <si>
    <t>24INR0425</t>
  </si>
  <si>
    <t>Two Brothers ESS</t>
  </si>
  <si>
    <t>25INR0602</t>
  </si>
  <si>
    <t>Hockley BESS</t>
  </si>
  <si>
    <t>28INR0108</t>
  </si>
  <si>
    <t>RAYBURN ENERGY STATION II Gas (TEF-Due Diligence)</t>
  </si>
  <si>
    <t>Grayson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</si>
</sst>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C00000"/>
      <name val="Calibri"/>
      <family val="2"/>
      <scheme val="minor"/>
    </font>
  </fonts>
  <fills count="5">
    <fill>
      <patternFill patternType="none"/>
    </fill>
    <fill>
      <patternFill patternType="gray125"/>
    </fill>
    <fill>
      <patternFill patternType="solid">
        <fgColor theme="0" tint="-0.14996795556505021"/>
        <bgColor indexed="64"/>
      </patternFill>
    </fill>
    <fill>
      <patternFill patternType="solid">
        <fgColor indexed="9"/>
        <bgColor indexed="64"/>
      </patternFill>
    </fill>
    <fill>
      <patternFill patternType="solid">
        <fgColor theme="0" tint="-0.14999847407452621"/>
        <bgColor theme="0" tint="-0.14999847407452621"/>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0" xfId="0" applyFont="1"/>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1" fillId="2" borderId="2" xfId="0" applyFont="1" applyFill="1" applyBorder="1"/>
    <xf numFmtId="17" fontId="0" fillId="0" borderId="0" xfId="0" applyNumberFormat="1"/>
    <xf numFmtId="14" fontId="0" fillId="0" borderId="0" xfId="0" applyNumberFormat="1"/>
    <xf numFmtId="0" fontId="1" fillId="2" borderId="2" xfId="0" applyFont="1" applyFill="1" applyBorder="1" applyAlignment="1">
      <alignment horizontal="center"/>
    </xf>
    <xf numFmtId="3" fontId="0" fillId="0" borderId="0" xfId="0" applyNumberFormat="1" applyAlignment="1">
      <alignment horizontal="center"/>
    </xf>
    <xf numFmtId="0" fontId="0" fillId="0" borderId="0" xfId="0" applyAlignment="1">
      <alignment horizontal="center"/>
    </xf>
    <xf numFmtId="3" fontId="0" fillId="0" borderId="0" xfId="0" applyNumberFormat="1"/>
    <xf numFmtId="3" fontId="2" fillId="0" borderId="0" xfId="0" applyNumberFormat="1" applyFont="1" applyAlignment="1">
      <alignment horizontal="center"/>
    </xf>
    <xf numFmtId="3" fontId="2" fillId="0" borderId="0" xfId="0" applyNumberFormat="1" applyFont="1"/>
    <xf numFmtId="0" fontId="1" fillId="4" borderId="3" xfId="0" applyFont="1" applyFill="1" applyBorder="1"/>
    <xf numFmtId="0" fontId="1" fillId="3" borderId="0" xfId="0" applyFont="1" applyFill="1"/>
    <xf numFmtId="0" fontId="1" fillId="0" borderId="4" xfId="0" applyFont="1" applyBorder="1"/>
    <xf numFmtId="0" fontId="0" fillId="2" borderId="2" xfId="0" applyFill="1" applyBorder="1"/>
    <xf numFmtId="14" fontId="0" fillId="2" borderId="2" xfId="0" applyNumberFormat="1" applyFill="1" applyBorder="1"/>
    <xf numFmtId="0" fontId="0" fillId="3" borderId="2" xfId="0" applyFill="1" applyBorder="1"/>
    <xf numFmtId="14" fontId="0" fillId="3" borderId="2" xfId="0" applyNumberFormat="1" applyFill="1" applyBorder="1"/>
  </cellXfs>
  <cellStyles count="1">
    <cellStyle name="Normal" xfId="0" builtinId="0"/>
  </cellStyles>
  <dxfs count="0"/>
  <tableStyles count="0" defaultTableStyle="TableStyleMedium2" defaultPivotStyle="PivotStyleLight16"/>
  <colors>
    <mruColors>
      <color rgb="FF720000"/>
      <color rgb="FF9E170D"/>
      <color rgb="FF685BC7"/>
      <color rgb="FFDA8784"/>
      <color rgb="FFF5CBA6"/>
      <color rgb="FFE26800"/>
      <color rgb="FF003865"/>
      <color rgb="FF8DC3E5"/>
      <color rgb="FF0063B4"/>
      <color rgb="FF890C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986328517942524E-2"/>
          <c:y val="6.3230531965593945E-2"/>
          <c:w val="0.91736610691845799"/>
          <c:h val="0.68975376755891427"/>
        </c:manualLayout>
      </c:layout>
      <c:barChart>
        <c:barDir val="col"/>
        <c:grouping val="stacked"/>
        <c:varyColors val="0"/>
        <c:ser>
          <c:idx val="0"/>
          <c:order val="0"/>
          <c:tx>
            <c:strRef>
              <c:f>'Wind Chart'!$C$73</c:f>
              <c:strCache>
                <c:ptCount val="1"/>
                <c:pt idx="0">
                  <c:v>Cumulative MW Operational </c:v>
                </c:pt>
              </c:strCache>
            </c:strRef>
          </c:tx>
          <c:spPr>
            <a:solidFill>
              <a:srgbClr val="0063B4"/>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'Wind Chart'!$A$74:$A$97</c:f>
              <c:numCache>
                <c:formatCode>mmm\-yy</c:formatCode>
                <c:ptCount val="24"/>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'Wind Chart'!$C$74:$C$97</c:f>
              <c:numCache>
                <c:formatCode>#,##0</c:formatCode>
                <c:ptCount val="24"/>
                <c:pt idx="0">
                  <c:v>41208.050000000017</c:v>
                </c:pt>
                <c:pt idx="1">
                  <c:v>41208.050000000017</c:v>
                </c:pt>
                <c:pt idx="2">
                  <c:v>41208.050000000017</c:v>
                </c:pt>
                <c:pt idx="3">
                  <c:v>41208.050000000017</c:v>
                </c:pt>
                <c:pt idx="4">
                  <c:v>41208.050000000017</c:v>
                </c:pt>
                <c:pt idx="5">
                  <c:v>41208.050000000017</c:v>
                </c:pt>
                <c:pt idx="6">
                  <c:v>41208.050000000017</c:v>
                </c:pt>
                <c:pt idx="7">
                  <c:v>41208.050000000017</c:v>
                </c:pt>
                <c:pt idx="8">
                  <c:v>41208.050000000017</c:v>
                </c:pt>
                <c:pt idx="9">
                  <c:v>41208.050000000017</c:v>
                </c:pt>
                <c:pt idx="10">
                  <c:v>41208.050000000017</c:v>
                </c:pt>
                <c:pt idx="11">
                  <c:v>41208.050000000017</c:v>
                </c:pt>
                <c:pt idx="12">
                  <c:v>41208.050000000017</c:v>
                </c:pt>
                <c:pt idx="13">
                  <c:v>41208.050000000017</c:v>
                </c:pt>
                <c:pt idx="14">
                  <c:v>41208.050000000017</c:v>
                </c:pt>
                <c:pt idx="15">
                  <c:v>41208.050000000017</c:v>
                </c:pt>
                <c:pt idx="16">
                  <c:v>41208.050000000017</c:v>
                </c:pt>
                <c:pt idx="17">
                  <c:v>41208.050000000017</c:v>
                </c:pt>
              </c:numCache>
            </c:numRef>
          </c:val>
          <c:extLst>
            <c:ext xmlns:c16="http://schemas.microsoft.com/office/drawing/2014/chart" uri="{C3380CC4-5D6E-409C-BE32-E72D297353CC}">
              <c16:uniqueId val="{00000018-B184-47CB-9C8F-A5855574998E}"/>
            </c:ext>
          </c:extLst>
        </c:ser>
        <c:ser>
          <c:idx val="3"/>
          <c:order val="1"/>
          <c:tx>
            <c:v>IA Signed-Financial Security Posted </c:v>
          </c:tx>
          <c:spPr>
            <a:solidFill>
              <a:srgbClr val="8DC3E5"/>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F-266A-419E-88D2-E8FC7AFC0349}"/>
                </c:ext>
              </c:extLst>
            </c:dLbl>
            <c:dLbl>
              <c:idx val="1"/>
              <c:delete val="1"/>
              <c:extLst>
                <c:ext xmlns:c15="http://schemas.microsoft.com/office/drawing/2012/chart" uri="{CE6537A1-D6FC-4f65-9D91-7224C49458BB}"/>
                <c:ext xmlns:c16="http://schemas.microsoft.com/office/drawing/2014/chart" uri="{C3380CC4-5D6E-409C-BE32-E72D297353CC}">
                  <c16:uniqueId val="{0000000A-2839-4C08-A2C0-9664D245676D}"/>
                </c:ext>
              </c:extLst>
            </c:dLbl>
            <c:dLbl>
              <c:idx val="2"/>
              <c:delete val="1"/>
              <c:extLst>
                <c:ext xmlns:c15="http://schemas.microsoft.com/office/drawing/2012/chart" uri="{CE6537A1-D6FC-4f65-9D91-7224C49458BB}"/>
                <c:ext xmlns:c16="http://schemas.microsoft.com/office/drawing/2014/chart" uri="{C3380CC4-5D6E-409C-BE32-E72D297353CC}">
                  <c16:uniqueId val="{00000003-D4B8-4150-9214-F50222C8B733}"/>
                </c:ext>
              </c:extLst>
            </c:dLbl>
            <c:dLbl>
              <c:idx val="3"/>
              <c:delete val="1"/>
              <c:extLst>
                <c:ext xmlns:c15="http://schemas.microsoft.com/office/drawing/2012/chart" uri="{CE6537A1-D6FC-4f65-9D91-7224C49458BB}"/>
                <c:ext xmlns:c16="http://schemas.microsoft.com/office/drawing/2014/chart" uri="{C3380CC4-5D6E-409C-BE32-E72D297353CC}">
                  <c16:uniqueId val="{00000002-C99A-4795-A098-5D7BA3E49704}"/>
                </c:ext>
              </c:extLst>
            </c:dLbl>
            <c:dLbl>
              <c:idx val="4"/>
              <c:delete val="1"/>
              <c:extLst>
                <c:ext xmlns:c15="http://schemas.microsoft.com/office/drawing/2012/chart" uri="{CE6537A1-D6FC-4f65-9D91-7224C49458BB}"/>
                <c:ext xmlns:c16="http://schemas.microsoft.com/office/drawing/2014/chart" uri="{C3380CC4-5D6E-409C-BE32-E72D297353CC}">
                  <c16:uniqueId val="{00000001-C99A-4795-A098-5D7BA3E49704}"/>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9A-4795-A098-5D7BA3E49704}"/>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C0-42DA-8E9A-4110E685DEAB}"/>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C0-42DA-8E9A-4110E685DEAB}"/>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D7-413D-B84B-B2062C1BF4E4}"/>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A-4B80-9B7C-E2B17F138561}"/>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'Wind Chart'!$A$207:$A$228</c:f>
              <c:numCache>
                <c:formatCode>General</c:formatCode>
                <c:ptCount val="22"/>
              </c:numCache>
            </c:numRef>
          </c:cat>
          <c:val>
            <c:numRef>
              <c:f>'Wind Chart'!$D$74:$D$97</c:f>
              <c:numCache>
                <c:formatCode>#,##0</c:formatCode>
                <c:ptCount val="24"/>
                <c:pt idx="0">
                  <c:v>0</c:v>
                </c:pt>
                <c:pt idx="1">
                  <c:v>0</c:v>
                </c:pt>
                <c:pt idx="2">
                  <c:v>0</c:v>
                </c:pt>
                <c:pt idx="3">
                  <c:v>0</c:v>
                </c:pt>
                <c:pt idx="4">
                  <c:v>0</c:v>
                </c:pt>
                <c:pt idx="5">
                  <c:v>520.17000000000007</c:v>
                </c:pt>
                <c:pt idx="6">
                  <c:v>1085.3700000000001</c:v>
                </c:pt>
                <c:pt idx="7">
                  <c:v>1085.3700000000001</c:v>
                </c:pt>
                <c:pt idx="8">
                  <c:v>1085.3700000000001</c:v>
                </c:pt>
                <c:pt idx="9">
                  <c:v>1346.4700000000003</c:v>
                </c:pt>
                <c:pt idx="10">
                  <c:v>1569.0700000000002</c:v>
                </c:pt>
                <c:pt idx="11">
                  <c:v>1569.0700000000002</c:v>
                </c:pt>
                <c:pt idx="12">
                  <c:v>1852.4700000000003</c:v>
                </c:pt>
                <c:pt idx="13">
                  <c:v>1852.4700000000003</c:v>
                </c:pt>
                <c:pt idx="14">
                  <c:v>1852.4700000000003</c:v>
                </c:pt>
                <c:pt idx="15">
                  <c:v>4058.0099999999998</c:v>
                </c:pt>
                <c:pt idx="16">
                  <c:v>4058.0099999999998</c:v>
                </c:pt>
                <c:pt idx="17">
                  <c:v>4335.3899999999994</c:v>
                </c:pt>
              </c:numCache>
            </c:numRef>
          </c:val>
          <c:extLst>
            <c:ext xmlns:c16="http://schemas.microsoft.com/office/drawing/2014/chart" uri="{C3380CC4-5D6E-409C-BE32-E72D297353CC}">
              <c16:uniqueId val="{0000001F-B184-47CB-9C8F-A5855574998E}"/>
            </c:ext>
          </c:extLst>
        </c:ser>
        <c:ser>
          <c:idx val="1"/>
          <c:order val="2"/>
          <c:tx>
            <c:v>IA Signed-No Financial Security </c:v>
          </c:tx>
          <c:spPr>
            <a:solidFill>
              <a:srgbClr val="003865"/>
            </a:solidFill>
          </c:spPr>
          <c:invertIfNegative val="0"/>
          <c:dLbls>
            <c:dLbl>
              <c:idx val="0"/>
              <c:layout>
                <c:manualLayout>
                  <c:x val="-4.944960641228232E-3"/>
                  <c:y val="-2.1668723130616442E-2"/>
                </c:manualLayout>
              </c:layout>
              <c:spPr>
                <a:noFill/>
                <a:ln>
                  <a:noFill/>
                </a:ln>
                <a:effectLst/>
              </c:spPr>
              <c:txPr>
                <a:bodyPr wrap="square" lIns="38100" tIns="19050" rIns="38100" bIns="19050" anchor="ctr">
                  <a:spAutoFit/>
                </a:bodyPr>
                <a:lstStyle/>
                <a:p>
                  <a:pPr>
                    <a:defRPr>
                      <a:solidFill>
                        <a:srgbClr val="002060"/>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66A-419E-88D2-E8FC7AFC0349}"/>
                </c:ext>
              </c:extLst>
            </c:dLbl>
            <c:dLbl>
              <c:idx val="1"/>
              <c:layout>
                <c:manualLayout>
                  <c:x val="-1.7801858308421615E-2"/>
                  <c:y val="-2.355295992458312E-2"/>
                </c:manualLayout>
              </c:layout>
              <c:spPr>
                <a:noFill/>
                <a:ln>
                  <a:noFill/>
                </a:ln>
                <a:effectLst/>
              </c:spPr>
              <c:txPr>
                <a:bodyPr wrap="square" lIns="38100" tIns="19050" rIns="38100" bIns="19050" anchor="ctr">
                  <a:spAutoFit/>
                </a:bodyPr>
                <a:lstStyle/>
                <a:p>
                  <a:pPr>
                    <a:defRPr>
                      <a:solidFill>
                        <a:srgbClr val="002060"/>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39-4C08-A2C0-9664D245676D}"/>
                </c:ext>
              </c:extLst>
            </c:dLbl>
            <c:dLbl>
              <c:idx val="2"/>
              <c:layout>
                <c:manualLayout>
                  <c:x val="-1.9779842564912928E-2"/>
                  <c:y val="-2.3552959924583085E-2"/>
                </c:manualLayout>
              </c:layout>
              <c:spPr>
                <a:noFill/>
                <a:ln>
                  <a:noFill/>
                </a:ln>
                <a:effectLst/>
              </c:spPr>
              <c:txPr>
                <a:bodyPr wrap="square" lIns="38100" tIns="19050" rIns="38100" bIns="19050" anchor="ctr">
                  <a:spAutoFit/>
                </a:bodyPr>
                <a:lstStyle/>
                <a:p>
                  <a:pPr>
                    <a:defRPr>
                      <a:solidFill>
                        <a:srgbClr val="002060"/>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39-4C08-A2C0-9664D245676D}"/>
                </c:ext>
              </c:extLst>
            </c:dLbl>
            <c:dLbl>
              <c:idx val="3"/>
              <c:layout>
                <c:manualLayout>
                  <c:x val="0"/>
                  <c:y val="9.4211839698328753E-4"/>
                </c:manualLayout>
              </c:layout>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39-4C08-A2C0-9664D245676D}"/>
                </c:ext>
              </c:extLst>
            </c:dLbl>
            <c:dLbl>
              <c:idx val="4"/>
              <c:layout>
                <c:manualLayout>
                  <c:x val="-9.8899212824568269E-4"/>
                  <c:y val="9.4211839698332201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39-4C08-A2C0-9664D245676D}"/>
                </c:ext>
              </c:extLst>
            </c:dLbl>
            <c:dLbl>
              <c:idx val="5"/>
              <c:layout>
                <c:manualLayout>
                  <c:x val="9.8899212824564626E-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39-4C08-A2C0-9664D245676D}"/>
                </c:ext>
              </c:extLst>
            </c:dLbl>
            <c:dLbl>
              <c:idx val="6"/>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39-4C08-A2C0-9664D245676D}"/>
                </c:ext>
              </c:extLst>
            </c:dLbl>
            <c:dLbl>
              <c:idx val="7"/>
              <c:layout>
                <c:manualLayout>
                  <c:x val="0"/>
                  <c:y val="1.8842367939666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39-4C08-A2C0-9664D245676D}"/>
                </c:ext>
              </c:extLst>
            </c:dLbl>
            <c:dLbl>
              <c:idx val="8"/>
              <c:layout>
                <c:manualLayout>
                  <c:x val="-1.9779842564912925E-3"/>
                  <c:y val="-9.4211839698332201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95-4A38-98E9-12A86B4F26F5}"/>
                </c:ext>
              </c:extLst>
            </c:dLbl>
            <c:dLbl>
              <c:idx val="9"/>
              <c:layout>
                <c:manualLayout>
                  <c:x val="-9.889921282457189E-4"/>
                  <c:y val="-9.4211839698332201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95-4A38-98E9-12A86B4F26F5}"/>
                </c:ext>
              </c:extLst>
            </c:dLbl>
            <c:dLbl>
              <c:idx val="10"/>
              <c:layout>
                <c:manualLayout>
                  <c:x val="1.9779842564912925E-3"/>
                  <c:y val="-9.4211839698332201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95-4A38-98E9-12A86B4F26F5}"/>
                </c:ext>
              </c:extLst>
            </c:dLbl>
            <c:dLbl>
              <c:idx val="11"/>
              <c:layout>
                <c:manualLayout>
                  <c:x val="3.955968512982585E-3"/>
                  <c:y val="-9.4211839698332201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95-4A38-98E9-12A86B4F26F5}"/>
                </c:ext>
              </c:extLst>
            </c:dLbl>
            <c:dLbl>
              <c:idx val="12"/>
              <c:layout>
                <c:manualLayout>
                  <c:x val="9.8899212824564626E-4"/>
                  <c:y val="-9.4211839698332201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95-4A38-98E9-12A86B4F26F5}"/>
                </c:ext>
              </c:extLst>
            </c:dLbl>
            <c:dLbl>
              <c:idx val="13"/>
              <c:layout>
                <c:manualLayout>
                  <c:x val="-1.9779842564912925E-3"/>
                  <c:y val="9.4211839698330477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95-4A38-98E9-12A86B4F26F5}"/>
                </c:ext>
              </c:extLst>
            </c:dLbl>
            <c:dLbl>
              <c:idx val="14"/>
              <c:layout>
                <c:manualLayout>
                  <c:x val="-9.8899212824579133E-4"/>
                  <c:y val="9.4211839698330477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95-4A38-98E9-12A86B4F26F5}"/>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rgbClr val="5B6770"/>
                      </a:solidFill>
                    </a:ln>
                  </c:spPr>
                </c15:leaderLines>
              </c:ext>
            </c:extLst>
          </c:dLbls>
          <c:cat>
            <c:numRef>
              <c:f>'Wind Chart'!$A$207:$A$228</c:f>
              <c:numCache>
                <c:formatCode>General</c:formatCode>
                <c:ptCount val="22"/>
              </c:numCache>
            </c:numRef>
          </c:cat>
          <c:val>
            <c:numRef>
              <c:f>'Wind Chart'!$E$74:$E$97</c:f>
              <c:numCache>
                <c:formatCode>#,##0</c:formatCode>
                <c:ptCount val="24"/>
                <c:pt idx="0">
                  <c:v>3</c:v>
                </c:pt>
                <c:pt idx="1">
                  <c:v>3</c:v>
                </c:pt>
                <c:pt idx="2">
                  <c:v>3</c:v>
                </c:pt>
                <c:pt idx="3">
                  <c:v>495.31</c:v>
                </c:pt>
                <c:pt idx="4">
                  <c:v>495.31</c:v>
                </c:pt>
                <c:pt idx="5">
                  <c:v>495.31</c:v>
                </c:pt>
                <c:pt idx="6">
                  <c:v>495.31</c:v>
                </c:pt>
                <c:pt idx="7">
                  <c:v>495.31</c:v>
                </c:pt>
                <c:pt idx="8">
                  <c:v>495.31</c:v>
                </c:pt>
                <c:pt idx="9">
                  <c:v>747.81</c:v>
                </c:pt>
                <c:pt idx="10">
                  <c:v>747.81</c:v>
                </c:pt>
                <c:pt idx="11">
                  <c:v>747.81</c:v>
                </c:pt>
                <c:pt idx="12">
                  <c:v>747.81</c:v>
                </c:pt>
                <c:pt idx="13">
                  <c:v>950.14</c:v>
                </c:pt>
                <c:pt idx="14">
                  <c:v>950.14</c:v>
                </c:pt>
                <c:pt idx="15">
                  <c:v>950.14</c:v>
                </c:pt>
                <c:pt idx="16">
                  <c:v>950.14</c:v>
                </c:pt>
                <c:pt idx="17">
                  <c:v>950.14</c:v>
                </c:pt>
              </c:numCache>
            </c:numRef>
          </c:val>
          <c:extLst>
            <c:ext xmlns:c16="http://schemas.microsoft.com/office/drawing/2014/chart" uri="{C3380CC4-5D6E-409C-BE32-E72D297353CC}">
              <c16:uniqueId val="{00000022-B184-47CB-9C8F-A5855574998E}"/>
            </c:ext>
          </c:extLst>
        </c:ser>
        <c:ser>
          <c:idx val="4"/>
          <c:order val="3"/>
          <c:tx>
            <c:v>Other Planned</c:v>
          </c:tx>
          <c:spPr>
            <a:solidFill>
              <a:srgbClr val="685BC7"/>
            </a:solidFill>
          </c:spPr>
          <c:invertIfNegative val="0"/>
          <c:cat>
            <c:numRef>
              <c:f>'Wind Chart'!$A$207:$A$228</c:f>
              <c:numCache>
                <c:formatCode>General</c:formatCode>
                <c:ptCount val="22"/>
              </c:numCache>
            </c:numRef>
          </c:cat>
          <c:val>
            <c:numRef>
              <c:f>'Wind Chart'!$F$74:$F$97</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23-B184-47CB-9C8F-A5855574998E}"/>
            </c:ext>
          </c:extLst>
        </c:ser>
        <c:ser>
          <c:idx val="2"/>
          <c:order val="4"/>
          <c:tx>
            <c:v>Cumulative Installed and Planned</c:v>
          </c:tx>
          <c:spPr>
            <a:noFill/>
          </c:spPr>
          <c:invertIfNegative val="0"/>
          <c:dLbls>
            <c:dLbl>
              <c:idx val="0"/>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4-B184-47CB-9C8F-A5855574998E}"/>
                </c:ext>
              </c:extLst>
            </c:dLbl>
            <c:dLbl>
              <c:idx val="1"/>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5-B184-47CB-9C8F-A5855574998E}"/>
                </c:ext>
              </c:extLst>
            </c:dLbl>
            <c:dLbl>
              <c:idx val="2"/>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6-B184-47CB-9C8F-A5855574998E}"/>
                </c:ext>
              </c:extLst>
            </c:dLbl>
            <c:dLbl>
              <c:idx val="3"/>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7-B184-47CB-9C8F-A5855574998E}"/>
                </c:ext>
              </c:extLst>
            </c:dLbl>
            <c:dLbl>
              <c:idx val="4"/>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8-B184-47CB-9C8F-A5855574998E}"/>
                </c:ext>
              </c:extLst>
            </c:dLbl>
            <c:dLbl>
              <c:idx val="5"/>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9-B184-47CB-9C8F-A5855574998E}"/>
                </c:ext>
              </c:extLst>
            </c:dLbl>
            <c:dLbl>
              <c:idx val="6"/>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A-B184-47CB-9C8F-A5855574998E}"/>
                </c:ext>
              </c:extLst>
            </c:dLbl>
            <c:dLbl>
              <c:idx val="7"/>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B-B184-47CB-9C8F-A5855574998E}"/>
                </c:ext>
              </c:extLst>
            </c:dLbl>
            <c:dLbl>
              <c:idx val="8"/>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C-B184-47CB-9C8F-A5855574998E}"/>
                </c:ext>
              </c:extLst>
            </c:dLbl>
            <c:dLbl>
              <c:idx val="9"/>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D-B184-47CB-9C8F-A5855574998E}"/>
                </c:ext>
              </c:extLst>
            </c:dLbl>
            <c:dLbl>
              <c:idx val="10"/>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E-B184-47CB-9C8F-A5855574998E}"/>
                </c:ext>
              </c:extLst>
            </c:dLbl>
            <c:dLbl>
              <c:idx val="11"/>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F-B184-47CB-9C8F-A5855574998E}"/>
                </c:ext>
              </c:extLst>
            </c:dLbl>
            <c:dLbl>
              <c:idx val="12"/>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0-B184-47CB-9C8F-A5855574998E}"/>
                </c:ext>
              </c:extLst>
            </c:dLbl>
            <c:dLbl>
              <c:idx val="13"/>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1-B184-47CB-9C8F-A5855574998E}"/>
                </c:ext>
              </c:extLst>
            </c:dLbl>
            <c:dLbl>
              <c:idx val="14"/>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2-B184-47CB-9C8F-A5855574998E}"/>
                </c:ext>
              </c:extLst>
            </c:dLbl>
            <c:dLbl>
              <c:idx val="15"/>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3-B184-47CB-9C8F-A5855574998E}"/>
                </c:ext>
              </c:extLst>
            </c:dLbl>
            <c:dLbl>
              <c:idx val="16"/>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4-B184-47CB-9C8F-A5855574998E}"/>
                </c:ext>
              </c:extLst>
            </c:dLbl>
            <c:dLbl>
              <c:idx val="17"/>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5-B184-47CB-9C8F-A5855574998E}"/>
                </c:ext>
              </c:extLst>
            </c:dLbl>
            <c:dLbl>
              <c:idx val="18"/>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6-B184-47CB-9C8F-A5855574998E}"/>
                </c:ext>
              </c:extLst>
            </c:dLbl>
            <c:dLbl>
              <c:idx val="19"/>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7-B184-47CB-9C8F-A5855574998E}"/>
                </c:ext>
              </c:extLst>
            </c:dLbl>
            <c:dLbl>
              <c:idx val="20"/>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8-B184-47CB-9C8F-A5855574998E}"/>
                </c:ext>
              </c:extLst>
            </c:dLbl>
            <c:dLbl>
              <c:idx val="21"/>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9-B184-47CB-9C8F-A5855574998E}"/>
                </c:ext>
              </c:extLst>
            </c:dLbl>
            <c:dLbl>
              <c:idx val="22"/>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A-B184-47CB-9C8F-A5855574998E}"/>
                </c:ext>
              </c:extLst>
            </c:dLbl>
            <c:dLbl>
              <c:idx val="23"/>
              <c:spPr>
                <a:noFill/>
                <a:ln>
                  <a:noFill/>
                </a:ln>
                <a:effectLst/>
              </c:spPr>
              <c:txPr>
                <a:bodyPr/>
                <a:lstStyle/>
                <a:p>
                  <a:pPr algn="ctr">
                    <a:defRPr sz="1000" b="1">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3B-B184-47CB-9C8F-A5855574998E}"/>
                </c:ext>
              </c:extLst>
            </c:dLbl>
            <c:spPr>
              <a:noFill/>
              <a:ln>
                <a:noFill/>
              </a:ln>
              <a:effectLst/>
            </c:spPr>
            <c:txPr>
              <a:bodyPr/>
              <a:lstStyle/>
              <a:p>
                <a:pPr algn="ctr">
                  <a:defRPr b="1">
                    <a:solidFill>
                      <a:srgbClr val="5B6770"/>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'Wind Chart'!$A$207:$A$228</c:f>
              <c:numCache>
                <c:formatCode>General</c:formatCode>
                <c:ptCount val="22"/>
              </c:numCache>
            </c:numRef>
          </c:cat>
          <c:val>
            <c:numRef>
              <c:f>'Wind Chart'!$B$74:$B$97</c:f>
              <c:numCache>
                <c:formatCode>#,##0</c:formatCode>
                <c:ptCount val="24"/>
                <c:pt idx="0">
                  <c:v>41211.050000000017</c:v>
                </c:pt>
                <c:pt idx="1">
                  <c:v>41211.050000000017</c:v>
                </c:pt>
                <c:pt idx="2">
                  <c:v>41211.050000000017</c:v>
                </c:pt>
                <c:pt idx="3">
                  <c:v>41703.360000000015</c:v>
                </c:pt>
                <c:pt idx="4">
                  <c:v>41703.360000000015</c:v>
                </c:pt>
                <c:pt idx="5">
                  <c:v>42223.530000000013</c:v>
                </c:pt>
                <c:pt idx="6">
                  <c:v>42788.730000000018</c:v>
                </c:pt>
                <c:pt idx="7">
                  <c:v>42788.730000000018</c:v>
                </c:pt>
                <c:pt idx="8">
                  <c:v>42788.730000000018</c:v>
                </c:pt>
                <c:pt idx="9">
                  <c:v>43302.330000000016</c:v>
                </c:pt>
                <c:pt idx="10">
                  <c:v>43524.930000000015</c:v>
                </c:pt>
                <c:pt idx="11">
                  <c:v>43524.930000000015</c:v>
                </c:pt>
                <c:pt idx="12">
                  <c:v>43808.330000000016</c:v>
                </c:pt>
                <c:pt idx="13">
                  <c:v>44010.660000000018</c:v>
                </c:pt>
                <c:pt idx="14">
                  <c:v>44010.660000000018</c:v>
                </c:pt>
                <c:pt idx="15">
                  <c:v>46216.200000000019</c:v>
                </c:pt>
                <c:pt idx="16">
                  <c:v>46216.200000000019</c:v>
                </c:pt>
                <c:pt idx="17">
                  <c:v>46493.580000000016</c:v>
                </c:pt>
              </c:numCache>
            </c:numRef>
          </c:val>
          <c:extLst>
            <c:ext xmlns:c16="http://schemas.microsoft.com/office/drawing/2014/chart" uri="{C3380CC4-5D6E-409C-BE32-E72D297353CC}">
              <c16:uniqueId val="{0000003C-B184-47CB-9C8F-A5855574998E}"/>
            </c:ext>
          </c:extLst>
        </c:ser>
        <c:dLbls>
          <c:showLegendKey val="0"/>
          <c:showVal val="0"/>
          <c:showCatName val="0"/>
          <c:showSerName val="0"/>
          <c:showPercent val="0"/>
          <c:showBubbleSize val="0"/>
        </c:dLbls>
        <c:gapWidth val="12"/>
        <c:overlap val="100"/>
        <c:axId val="222863448"/>
        <c:axId val="222864232"/>
      </c:barChart>
      <c:dateAx>
        <c:axId val="222863448"/>
        <c:scaling>
          <c:orientation val="minMax"/>
        </c:scaling>
        <c:delete val="0"/>
        <c:axPos val="b"/>
        <c:numFmt formatCode="[$-409]mmm\-yy;@" sourceLinked="0"/>
        <c:majorTickMark val="out"/>
        <c:minorTickMark val="none"/>
        <c:tickLblPos val="nextTo"/>
        <c:txPr>
          <a:bodyPr/>
          <a:lstStyle/>
          <a:p>
            <a:pPr>
              <a:defRPr sz="1100" b="1">
                <a:solidFill>
                  <a:schemeClr val="tx2"/>
                </a:solidFill>
              </a:defRPr>
            </a:pPr>
            <a:endParaRPr lang="en-US"/>
          </a:p>
        </c:txPr>
        <c:crossAx val="222864232"/>
        <c:crossesAt val="0"/>
        <c:auto val="0"/>
        <c:lblOffset val="100"/>
        <c:baseTimeUnit val="months"/>
      </c:dateAx>
      <c:valAx>
        <c:axId val="222864232"/>
        <c:scaling>
          <c:orientation val="minMax"/>
          <c:max val="50000"/>
          <c:min val="26000"/>
        </c:scaling>
        <c:delete val="0"/>
        <c:axPos val="l"/>
        <c:majorGridlines>
          <c:spPr>
            <a:ln w="3175">
              <a:prstDash val="sysDot"/>
            </a:ln>
          </c:spPr>
        </c:majorGridlines>
        <c:numFmt formatCode="###,##0\ &quot; MW&quot;" sourceLinked="0"/>
        <c:majorTickMark val="out"/>
        <c:minorTickMark val="none"/>
        <c:tickLblPos val="nextTo"/>
        <c:txPr>
          <a:bodyPr/>
          <a:lstStyle/>
          <a:p>
            <a:pPr>
              <a:defRPr sz="1200" b="1">
                <a:solidFill>
                  <a:schemeClr val="tx2"/>
                </a:solidFill>
              </a:defRPr>
            </a:pPr>
            <a:endParaRPr lang="en-US"/>
          </a:p>
        </c:txPr>
        <c:crossAx val="222863448"/>
        <c:crosses val="autoZero"/>
        <c:crossBetween val="between"/>
        <c:majorUnit val="2000"/>
      </c:valAx>
      <c:spPr>
        <a:noFill/>
        <a:ln>
          <a:noFill/>
        </a:ln>
        <a:effectLst/>
        <a:scene3d>
          <a:camera prst="orthographicFront"/>
          <a:lightRig rig="threePt" dir="t"/>
        </a:scene3d>
        <a:sp3d prstMaterial="matte"/>
      </c:spPr>
    </c:plotArea>
    <c:legend>
      <c:legendPos val="t"/>
      <c:legendEntry>
        <c:idx val="3"/>
        <c:delete val="1"/>
      </c:legendEntry>
      <c:legendEntry>
        <c:idx val="4"/>
        <c:delete val="1"/>
      </c:legendEntry>
      <c:layout>
        <c:manualLayout>
          <c:xMode val="edge"/>
          <c:yMode val="edge"/>
          <c:x val="8.2706488086520882E-2"/>
          <c:y val="3.338391236352603E-2"/>
          <c:w val="0.89999994849376008"/>
          <c:h val="1.9500155767694174E-2"/>
        </c:manualLayout>
      </c:layout>
      <c:overlay val="0"/>
      <c:txPr>
        <a:bodyPr/>
        <a:lstStyle/>
        <a:p>
          <a:pPr>
            <a:defRPr sz="1200">
              <a:solidFill>
                <a:srgbClr val="5B6770"/>
              </a:solidFill>
            </a:defRPr>
          </a:pPr>
          <a:endParaRPr lang="en-US"/>
        </a:p>
      </c:txPr>
    </c:legend>
    <c:plotVisOnly val="1"/>
    <c:dispBlanksAs val="gap"/>
    <c:showDLblsOverMax val="0"/>
  </c:chart>
  <c:spPr>
    <a:ln>
      <a:noFill/>
    </a:ln>
  </c:spPr>
  <c:txPr>
    <a:bodyPr/>
    <a:lstStyle/>
    <a:p>
      <a:pPr>
        <a:defRPr>
          <a:latin typeface="Arial" panose="020B0604020202020204" pitchFamily="34" charset="0"/>
          <a:cs typeface="Arial" panose="020B0604020202020204" pitchFamily="34" charset="0"/>
        </a:defRPr>
      </a:pPr>
      <a:endParaRPr lang="en-US"/>
    </a:p>
  </c:txPr>
  <c:printSettings>
    <c:headerFooter/>
    <c:pageMargins b="0.75000000000000033" l="0.70000000000000029" r="0.70000000000000029" t="0.75000000000000033" header="0.30000000000000016" footer="0.30000000000000016"/>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986328517942524E-2"/>
          <c:y val="6.8288666438340029E-2"/>
          <c:w val="0.91736610691845799"/>
          <c:h val="0.66027944071575273"/>
        </c:manualLayout>
      </c:layout>
      <c:barChart>
        <c:barDir val="col"/>
        <c:grouping val="stacked"/>
        <c:varyColors val="0"/>
        <c:ser>
          <c:idx val="0"/>
          <c:order val="0"/>
          <c:tx>
            <c:strRef>
              <c:f>'Solar Chart'!$C$59</c:f>
              <c:strCache>
                <c:ptCount val="1"/>
                <c:pt idx="0">
                  <c:v>Cumulative MW Operational </c:v>
                </c:pt>
              </c:strCache>
            </c:strRef>
          </c:tx>
          <c:spPr>
            <a:solidFill>
              <a:srgbClr val="E26800"/>
            </a:solidFill>
          </c:spPr>
          <c:invertIfNegative val="0"/>
          <c:dLbls>
            <c:spPr>
              <a:noFill/>
              <a:ln>
                <a:noFill/>
              </a:ln>
              <a:effectLst/>
            </c:spPr>
            <c:txPr>
              <a:bodyPr wrap="square" lIns="38100" tIns="19050" rIns="38100" bIns="19050" anchor="ctr">
                <a:spAutoFit/>
              </a:bodyPr>
              <a:lstStyle/>
              <a:p>
                <a:pPr>
                  <a:defRPr sz="1000">
                    <a:solidFill>
                      <a:schemeClr val="bg1"/>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'Solar Chart'!$A$60:$A$77</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'Solar Chart'!$C$60:$C$77</c:f>
              <c:numCache>
                <c:formatCode>#,##0</c:formatCode>
                <c:ptCount val="18"/>
                <c:pt idx="0">
                  <c:v>41925.989999999983</c:v>
                </c:pt>
                <c:pt idx="1">
                  <c:v>41925.989999999983</c:v>
                </c:pt>
                <c:pt idx="2">
                  <c:v>41925.989999999983</c:v>
                </c:pt>
                <c:pt idx="3">
                  <c:v>41925.989999999983</c:v>
                </c:pt>
                <c:pt idx="4">
                  <c:v>41925.989999999983</c:v>
                </c:pt>
                <c:pt idx="5">
                  <c:v>41925.989999999983</c:v>
                </c:pt>
                <c:pt idx="6">
                  <c:v>41925.989999999983</c:v>
                </c:pt>
                <c:pt idx="7">
                  <c:v>41925.989999999983</c:v>
                </c:pt>
                <c:pt idx="8">
                  <c:v>41925.989999999983</c:v>
                </c:pt>
                <c:pt idx="9">
                  <c:v>41925.989999999983</c:v>
                </c:pt>
                <c:pt idx="10">
                  <c:v>41925.989999999983</c:v>
                </c:pt>
                <c:pt idx="11">
                  <c:v>41925.989999999983</c:v>
                </c:pt>
                <c:pt idx="12">
                  <c:v>41925.989999999983</c:v>
                </c:pt>
                <c:pt idx="13">
                  <c:v>41925.989999999983</c:v>
                </c:pt>
                <c:pt idx="14">
                  <c:v>41925.989999999983</c:v>
                </c:pt>
                <c:pt idx="15">
                  <c:v>41925.989999999983</c:v>
                </c:pt>
                <c:pt idx="16">
                  <c:v>41925.989999999983</c:v>
                </c:pt>
                <c:pt idx="17">
                  <c:v>41925.989999999983</c:v>
                </c:pt>
              </c:numCache>
            </c:numRef>
          </c:val>
          <c:extLst>
            <c:ext xmlns:c16="http://schemas.microsoft.com/office/drawing/2014/chart" uri="{C3380CC4-5D6E-409C-BE32-E72D297353CC}">
              <c16:uniqueId val="{00000005-75CA-4AF1-85F1-944CC0E59A21}"/>
            </c:ext>
          </c:extLst>
        </c:ser>
        <c:ser>
          <c:idx val="3"/>
          <c:order val="1"/>
          <c:tx>
            <c:v>IA Signed-Financial Security Posted </c:v>
          </c:tx>
          <c:spPr>
            <a:solidFill>
              <a:srgbClr val="F5CBA6"/>
            </a:solidFill>
          </c:spPr>
          <c:invertIfNegative val="0"/>
          <c:dPt>
            <c:idx val="7"/>
            <c:invertIfNegative val="1"/>
            <c:bubble3D val="0"/>
            <c:extLst>
              <c:ext xmlns:c16="http://schemas.microsoft.com/office/drawing/2014/chart" uri="{C3380CC4-5D6E-409C-BE32-E72D297353CC}">
                <c16:uniqueId val="{00000003-B6E4-48A1-A6B7-95058EA70970}"/>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B6-49EB-ABCE-993BDC0E4FE3}"/>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B6-49EB-ABCE-993BDC0E4FE3}"/>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12-4DF8-B3DC-8FB045F864C3}"/>
                </c:ext>
              </c:extLst>
            </c:dLbl>
            <c:dLbl>
              <c:idx val="3"/>
              <c:layout>
                <c:manualLayout>
                  <c:x val="-9.9129386407054349E-4"/>
                  <c:y val="2.325346348437178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12-4DF8-B3DC-8FB045F864C3}"/>
                </c:ext>
              </c:extLst>
            </c:dLbl>
            <c:dLbl>
              <c:idx val="4"/>
              <c:layout>
                <c:manualLayout>
                  <c:x val="-3.6347021798687829E-17"/>
                  <c:y val="4.7880163001286082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13-4770-92B3-FEBD3FECF1B7}"/>
                </c:ext>
              </c:extLst>
            </c:dLbl>
            <c:dLbl>
              <c:idx val="5"/>
              <c:layout>
                <c:manualLayout>
                  <c:x val="-7.2694043597375657E-17"/>
                  <c:y val="2.325346348437220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D5-495F-830D-113C1D1D8631}"/>
                </c:ext>
              </c:extLst>
            </c:dLbl>
            <c:spPr>
              <a:noFill/>
              <a:ln>
                <a:noFill/>
              </a:ln>
              <a:effectLst/>
            </c:spPr>
            <c:txPr>
              <a:bodyPr wrap="square" lIns="38100" tIns="19050" rIns="38100" bIns="19050" anchor="ctr">
                <a:spAutoFit/>
              </a:bodyPr>
              <a:lstStyle/>
              <a:p>
                <a:pPr>
                  <a:defRPr>
                    <a:solidFill>
                      <a:schemeClr val="bg1"/>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'Solar Chart'!$A$60:$A$77</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'Solar Chart'!$D$60:$D$77</c:f>
              <c:numCache>
                <c:formatCode>#,##0</c:formatCode>
                <c:ptCount val="18"/>
                <c:pt idx="0">
                  <c:v>50</c:v>
                </c:pt>
                <c:pt idx="1">
                  <c:v>50</c:v>
                </c:pt>
                <c:pt idx="2">
                  <c:v>250</c:v>
                </c:pt>
                <c:pt idx="3">
                  <c:v>581.35</c:v>
                </c:pt>
                <c:pt idx="4">
                  <c:v>998.82</c:v>
                </c:pt>
                <c:pt idx="5">
                  <c:v>1662.2200000000003</c:v>
                </c:pt>
                <c:pt idx="6">
                  <c:v>2247.2300000000005</c:v>
                </c:pt>
                <c:pt idx="7">
                  <c:v>3639.7600000000007</c:v>
                </c:pt>
                <c:pt idx="8">
                  <c:v>4638.2800000000007</c:v>
                </c:pt>
                <c:pt idx="9">
                  <c:v>6351.1600000000008</c:v>
                </c:pt>
                <c:pt idx="10">
                  <c:v>7786.2800000000007</c:v>
                </c:pt>
                <c:pt idx="11">
                  <c:v>8910.44</c:v>
                </c:pt>
                <c:pt idx="12">
                  <c:v>10493.99</c:v>
                </c:pt>
                <c:pt idx="13">
                  <c:v>11336.78</c:v>
                </c:pt>
                <c:pt idx="14">
                  <c:v>12812.880000000001</c:v>
                </c:pt>
                <c:pt idx="15">
                  <c:v>16138.870000000003</c:v>
                </c:pt>
                <c:pt idx="16">
                  <c:v>17001.040000000005</c:v>
                </c:pt>
                <c:pt idx="17">
                  <c:v>17101.040000000005</c:v>
                </c:pt>
              </c:numCache>
            </c:numRef>
          </c:val>
          <c:extLst>
            <c:ext xmlns:c16="http://schemas.microsoft.com/office/drawing/2014/chart" uri="{C3380CC4-5D6E-409C-BE32-E72D297353CC}">
              <c16:uniqueId val="{00000010-75CA-4AF1-85F1-944CC0E59A21}"/>
            </c:ext>
          </c:extLst>
        </c:ser>
        <c:ser>
          <c:idx val="1"/>
          <c:order val="2"/>
          <c:tx>
            <c:v>IA Signed-No Financial Security </c:v>
          </c:tx>
          <c:spPr>
            <a:solidFill>
              <a:srgbClr val="9E170D"/>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A0B6-49EB-ABCE-993BDC0E4FE3}"/>
                </c:ext>
              </c:extLst>
            </c:dLbl>
            <c:dLbl>
              <c:idx val="1"/>
              <c:delete val="1"/>
              <c:extLst>
                <c:ext xmlns:c15="http://schemas.microsoft.com/office/drawing/2012/chart" uri="{CE6537A1-D6FC-4f65-9D91-7224C49458BB}"/>
                <c:ext xmlns:c16="http://schemas.microsoft.com/office/drawing/2014/chart" uri="{C3380CC4-5D6E-409C-BE32-E72D297353CC}">
                  <c16:uniqueId val="{0000000A-A0B6-49EB-ABCE-993BDC0E4FE3}"/>
                </c:ext>
              </c:extLst>
            </c:dLbl>
            <c:dLbl>
              <c:idx val="2"/>
              <c:delete val="1"/>
              <c:extLst>
                <c:ext xmlns:c15="http://schemas.microsoft.com/office/drawing/2012/chart" uri="{CE6537A1-D6FC-4f65-9D91-7224C49458BB}"/>
                <c:ext xmlns:c16="http://schemas.microsoft.com/office/drawing/2014/chart" uri="{C3380CC4-5D6E-409C-BE32-E72D297353CC}">
                  <c16:uniqueId val="{00000009-A0B6-49EB-ABCE-993BDC0E4FE3}"/>
                </c:ext>
              </c:extLst>
            </c:dLbl>
            <c:dLbl>
              <c:idx val="3"/>
              <c:delete val="1"/>
              <c:extLst>
                <c:ext xmlns:c15="http://schemas.microsoft.com/office/drawing/2012/chart" uri="{CE6537A1-D6FC-4f65-9D91-7224C49458BB}"/>
                <c:ext xmlns:c16="http://schemas.microsoft.com/office/drawing/2014/chart" uri="{C3380CC4-5D6E-409C-BE32-E72D297353CC}">
                  <c16:uniqueId val="{00000008-A0B6-49EB-ABCE-993BDC0E4FE3}"/>
                </c:ext>
              </c:extLst>
            </c:dLbl>
            <c:dLbl>
              <c:idx val="4"/>
              <c:layout>
                <c:manualLayout>
                  <c:x val="-2.9738815922115212E-2"/>
                  <c:y val="-3.2554848878121094E-2"/>
                </c:manualLayout>
              </c:layout>
              <c:spPr>
                <a:noFill/>
                <a:ln>
                  <a:noFill/>
                </a:ln>
                <a:effectLst/>
              </c:spPr>
              <c:txPr>
                <a:bodyPr wrap="square" lIns="38100" tIns="19050" rIns="38100" bIns="19050" anchor="ctr">
                  <a:spAutoFit/>
                </a:bodyPr>
                <a:lstStyle/>
                <a:p>
                  <a:pPr>
                    <a:defRPr>
                      <a:solidFill>
                        <a:srgbClr val="C00000"/>
                      </a:solidFill>
                      <a:latin typeface="Arial" panose="020B0604020202020204" pitchFamily="34" charset="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05-4820-90B0-0987F89298A6}"/>
                </c:ext>
              </c:extLst>
            </c:dLbl>
            <c:dLbl>
              <c:idx val="5"/>
              <c:layout>
                <c:manualLayout>
                  <c:x val="-2.1808465009551154E-2"/>
                  <c:y val="-2.9066829355465302E-2"/>
                </c:manualLayout>
              </c:layout>
              <c:spPr>
                <a:noFill/>
                <a:ln>
                  <a:noFill/>
                </a:ln>
                <a:effectLst/>
              </c:spPr>
              <c:txPr>
                <a:bodyPr wrap="square" lIns="38100" tIns="19050" rIns="38100" bIns="19050" anchor="ctr">
                  <a:spAutoFit/>
                </a:bodyPr>
                <a:lstStyle/>
                <a:p>
                  <a:pPr>
                    <a:defRPr>
                      <a:solidFill>
                        <a:srgbClr val="C00000"/>
                      </a:solidFill>
                      <a:latin typeface="Arial" panose="020B0604020202020204" pitchFamily="34" charset="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B6-49EB-ABCE-993BDC0E4FE3}"/>
                </c:ext>
              </c:extLst>
            </c:dLbl>
            <c:dLbl>
              <c:idx val="6"/>
              <c:layout>
                <c:manualLayout>
                  <c:x val="-2.7756228193974199E-2"/>
                  <c:y val="-2.6741483007028038E-2"/>
                </c:manualLayout>
              </c:layout>
              <c:spPr>
                <a:noFill/>
                <a:ln>
                  <a:noFill/>
                </a:ln>
                <a:effectLst/>
              </c:spPr>
              <c:txPr>
                <a:bodyPr wrap="square" lIns="38100" tIns="19050" rIns="38100" bIns="19050" anchor="ctr">
                  <a:spAutoFit/>
                </a:bodyPr>
                <a:lstStyle/>
                <a:p>
                  <a:pPr>
                    <a:defRPr>
                      <a:solidFill>
                        <a:srgbClr val="C00000"/>
                      </a:solidFill>
                      <a:latin typeface="Arial" panose="020B0604020202020204" pitchFamily="34" charset="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D5-495F-830D-113C1D1D8631}"/>
                </c:ext>
              </c:extLst>
            </c:dLbl>
            <c:dLbl>
              <c:idx val="7"/>
              <c:layout>
                <c:manualLayout>
                  <c:x val="-3.0730109786185792E-2"/>
                  <c:y val="-3.0229502529683872E-2"/>
                </c:manualLayout>
              </c:layout>
              <c:spPr>
                <a:noFill/>
                <a:ln>
                  <a:noFill/>
                </a:ln>
                <a:effectLst/>
              </c:spPr>
              <c:txPr>
                <a:bodyPr wrap="square" lIns="38100" tIns="19050" rIns="38100" bIns="19050" anchor="ctr">
                  <a:spAutoFit/>
                </a:bodyPr>
                <a:lstStyle/>
                <a:p>
                  <a:pPr>
                    <a:defRPr>
                      <a:solidFill>
                        <a:srgbClr val="C00000"/>
                      </a:solidFill>
                      <a:latin typeface="Arial" panose="020B0604020202020204" pitchFamily="34" charset="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BB2-4AF3-99D0-C0244EE7413F}"/>
                </c:ext>
              </c:extLst>
            </c:dLbl>
            <c:dLbl>
              <c:idx val="8"/>
              <c:layout>
                <c:manualLayout>
                  <c:x val="-2.7756228193974199E-2"/>
                  <c:y val="-2.3253463484372208E-2"/>
                </c:manualLayout>
              </c:layout>
              <c:spPr>
                <a:noFill/>
                <a:ln>
                  <a:noFill/>
                </a:ln>
                <a:effectLst/>
              </c:spPr>
              <c:txPr>
                <a:bodyPr wrap="square" lIns="38100" tIns="19050" rIns="38100" bIns="19050" anchor="ctr">
                  <a:spAutoFit/>
                </a:bodyPr>
                <a:lstStyle/>
                <a:p>
                  <a:pPr>
                    <a:defRPr>
                      <a:solidFill>
                        <a:srgbClr val="C00000"/>
                      </a:solidFill>
                      <a:latin typeface="Arial" panose="020B0604020202020204" pitchFamily="34" charset="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05-4820-90B0-0987F89298A6}"/>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05-4820-90B0-0987F89298A6}"/>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B2-4AF3-99D0-C0244EE7413F}"/>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A2-4A17-993B-4E024E0A0F4B}"/>
                </c:ext>
              </c:extLst>
            </c:dLbl>
            <c:spPr>
              <a:noFill/>
              <a:ln>
                <a:noFill/>
              </a:ln>
              <a:effectLst/>
            </c:spPr>
            <c:txPr>
              <a:bodyPr wrap="square" lIns="38100" tIns="19050" rIns="38100" bIns="19050" anchor="ctr">
                <a:spAutoFit/>
              </a:bodyPr>
              <a:lstStyle/>
              <a:p>
                <a:pPr>
                  <a:defRPr>
                    <a:solidFill>
                      <a:schemeClr val="bg1"/>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rgbClr val="5B6770"/>
                      </a:solidFill>
                    </a:ln>
                  </c:spPr>
                </c15:leaderLines>
              </c:ext>
            </c:extLst>
          </c:dLbls>
          <c:cat>
            <c:numRef>
              <c:f>'Solar Chart'!$A$60:$A$77</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'Solar Chart'!$E$60:$E$77</c:f>
              <c:numCache>
                <c:formatCode>#,##0</c:formatCode>
                <c:ptCount val="18"/>
                <c:pt idx="0">
                  <c:v>0</c:v>
                </c:pt>
                <c:pt idx="1">
                  <c:v>0</c:v>
                </c:pt>
                <c:pt idx="2">
                  <c:v>0</c:v>
                </c:pt>
                <c:pt idx="3">
                  <c:v>0</c:v>
                </c:pt>
                <c:pt idx="4">
                  <c:v>198.43</c:v>
                </c:pt>
                <c:pt idx="5">
                  <c:v>198.43</c:v>
                </c:pt>
                <c:pt idx="6">
                  <c:v>198.43</c:v>
                </c:pt>
                <c:pt idx="7">
                  <c:v>198.43</c:v>
                </c:pt>
                <c:pt idx="8">
                  <c:v>198.43</c:v>
                </c:pt>
                <c:pt idx="9">
                  <c:v>335.40999999999997</c:v>
                </c:pt>
                <c:pt idx="10">
                  <c:v>1476.59</c:v>
                </c:pt>
                <c:pt idx="11">
                  <c:v>1697.54</c:v>
                </c:pt>
                <c:pt idx="12">
                  <c:v>1848.1799999999998</c:v>
                </c:pt>
                <c:pt idx="13">
                  <c:v>2350.8999999999996</c:v>
                </c:pt>
                <c:pt idx="14">
                  <c:v>2350.8999999999996</c:v>
                </c:pt>
                <c:pt idx="15">
                  <c:v>3139.9199999999996</c:v>
                </c:pt>
                <c:pt idx="16">
                  <c:v>3456.4199999999996</c:v>
                </c:pt>
                <c:pt idx="17">
                  <c:v>3607.0999999999995</c:v>
                </c:pt>
              </c:numCache>
            </c:numRef>
          </c:val>
          <c:extLst>
            <c:ext xmlns:c16="http://schemas.microsoft.com/office/drawing/2014/chart" uri="{C3380CC4-5D6E-409C-BE32-E72D297353CC}">
              <c16:uniqueId val="{00000016-75CA-4AF1-85F1-944CC0E59A21}"/>
            </c:ext>
          </c:extLst>
        </c:ser>
        <c:ser>
          <c:idx val="4"/>
          <c:order val="3"/>
          <c:tx>
            <c:strRef>
              <c:f>'Solar Chart'!$F$59</c:f>
              <c:strCache>
                <c:ptCount val="1"/>
                <c:pt idx="0">
                  <c:v>Small Generator</c:v>
                </c:pt>
              </c:strCache>
            </c:strRef>
          </c:tx>
          <c:spPr>
            <a:solidFill>
              <a:srgbClr val="685BC7"/>
            </a:solidFill>
          </c:spPr>
          <c:invertIfNegative val="0"/>
          <c:cat>
            <c:numRef>
              <c:f>'Solar Chart'!$A$60:$A$77</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'Solar Chart'!$F$60:$F$77</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17-75CA-4AF1-85F1-944CC0E59A21}"/>
            </c:ext>
          </c:extLst>
        </c:ser>
        <c:ser>
          <c:idx val="2"/>
          <c:order val="4"/>
          <c:tx>
            <c:v>Cumulative Installed and Planned</c:v>
          </c:tx>
          <c:spPr>
            <a:noFill/>
          </c:spPr>
          <c:invertIfNegative val="0"/>
          <c:dLbls>
            <c:dLbl>
              <c:idx val="0"/>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8-75CA-4AF1-85F1-944CC0E59A21}"/>
                </c:ext>
              </c:extLst>
            </c:dLbl>
            <c:dLbl>
              <c:idx val="1"/>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9-75CA-4AF1-85F1-944CC0E59A21}"/>
                </c:ext>
              </c:extLst>
            </c:dLbl>
            <c:dLbl>
              <c:idx val="2"/>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A-75CA-4AF1-85F1-944CC0E59A21}"/>
                </c:ext>
              </c:extLst>
            </c:dLbl>
            <c:dLbl>
              <c:idx val="3"/>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B-75CA-4AF1-85F1-944CC0E59A21}"/>
                </c:ext>
              </c:extLst>
            </c:dLbl>
            <c:dLbl>
              <c:idx val="4"/>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C-75CA-4AF1-85F1-944CC0E59A21}"/>
                </c:ext>
              </c:extLst>
            </c:dLbl>
            <c:dLbl>
              <c:idx val="5"/>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D-75CA-4AF1-85F1-944CC0E59A21}"/>
                </c:ext>
              </c:extLst>
            </c:dLbl>
            <c:dLbl>
              <c:idx val="6"/>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E-75CA-4AF1-85F1-944CC0E59A21}"/>
                </c:ext>
              </c:extLst>
            </c:dLbl>
            <c:dLbl>
              <c:idx val="7"/>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F-75CA-4AF1-85F1-944CC0E59A21}"/>
                </c:ext>
              </c:extLst>
            </c:dLbl>
            <c:dLbl>
              <c:idx val="8"/>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0-75CA-4AF1-85F1-944CC0E59A21}"/>
                </c:ext>
              </c:extLst>
            </c:dLbl>
            <c:dLbl>
              <c:idx val="9"/>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1-75CA-4AF1-85F1-944CC0E59A21}"/>
                </c:ext>
              </c:extLst>
            </c:dLbl>
            <c:dLbl>
              <c:idx val="10"/>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2-75CA-4AF1-85F1-944CC0E59A21}"/>
                </c:ext>
              </c:extLst>
            </c:dLbl>
            <c:dLbl>
              <c:idx val="11"/>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3-75CA-4AF1-85F1-944CC0E59A21}"/>
                </c:ext>
              </c:extLst>
            </c:dLbl>
            <c:dLbl>
              <c:idx val="12"/>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4-75CA-4AF1-85F1-944CC0E59A21}"/>
                </c:ext>
              </c:extLst>
            </c:dLbl>
            <c:dLbl>
              <c:idx val="13"/>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5-75CA-4AF1-85F1-944CC0E59A21}"/>
                </c:ext>
              </c:extLst>
            </c:dLbl>
            <c:dLbl>
              <c:idx val="14"/>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6-75CA-4AF1-85F1-944CC0E59A21}"/>
                </c:ext>
              </c:extLst>
            </c:dLbl>
            <c:dLbl>
              <c:idx val="15"/>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7-75CA-4AF1-85F1-944CC0E59A21}"/>
                </c:ext>
              </c:extLst>
            </c:dLbl>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'Solar Chart'!$A$60:$A$77</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'Solar Chart'!$B$60:$B$77</c:f>
              <c:numCache>
                <c:formatCode>#,##0</c:formatCode>
                <c:ptCount val="18"/>
                <c:pt idx="0">
                  <c:v>41975.989999999983</c:v>
                </c:pt>
                <c:pt idx="1">
                  <c:v>41975.989999999983</c:v>
                </c:pt>
                <c:pt idx="2">
                  <c:v>42175.989999999983</c:v>
                </c:pt>
                <c:pt idx="3">
                  <c:v>42507.339999999982</c:v>
                </c:pt>
                <c:pt idx="4">
                  <c:v>43123.239999999983</c:v>
                </c:pt>
                <c:pt idx="5">
                  <c:v>43786.639999999985</c:v>
                </c:pt>
                <c:pt idx="6">
                  <c:v>44371.649999999987</c:v>
                </c:pt>
                <c:pt idx="7">
                  <c:v>45764.179999999986</c:v>
                </c:pt>
                <c:pt idx="8">
                  <c:v>46762.699999999983</c:v>
                </c:pt>
                <c:pt idx="9">
                  <c:v>48612.55999999999</c:v>
                </c:pt>
                <c:pt idx="10">
                  <c:v>51188.859999999979</c:v>
                </c:pt>
                <c:pt idx="11">
                  <c:v>52533.969999999987</c:v>
                </c:pt>
                <c:pt idx="12">
                  <c:v>54268.159999999982</c:v>
                </c:pt>
                <c:pt idx="13">
                  <c:v>55613.669999999984</c:v>
                </c:pt>
                <c:pt idx="14">
                  <c:v>57089.769999999982</c:v>
                </c:pt>
                <c:pt idx="15">
                  <c:v>61204.779999999984</c:v>
                </c:pt>
                <c:pt idx="16">
                  <c:v>62383.449999999983</c:v>
                </c:pt>
                <c:pt idx="17">
                  <c:v>62634.129999999983</c:v>
                </c:pt>
              </c:numCache>
            </c:numRef>
          </c:val>
          <c:extLst>
            <c:ext xmlns:c16="http://schemas.microsoft.com/office/drawing/2014/chart" uri="{C3380CC4-5D6E-409C-BE32-E72D297353CC}">
              <c16:uniqueId val="{00000028-75CA-4AF1-85F1-944CC0E59A21}"/>
            </c:ext>
          </c:extLst>
        </c:ser>
        <c:dLbls>
          <c:showLegendKey val="0"/>
          <c:showVal val="0"/>
          <c:showCatName val="0"/>
          <c:showSerName val="0"/>
          <c:showPercent val="0"/>
          <c:showBubbleSize val="0"/>
        </c:dLbls>
        <c:gapWidth val="12"/>
        <c:overlap val="100"/>
        <c:axId val="222862272"/>
        <c:axId val="222861880"/>
      </c:barChart>
      <c:dateAx>
        <c:axId val="222862272"/>
        <c:scaling>
          <c:orientation val="minMax"/>
        </c:scaling>
        <c:delete val="0"/>
        <c:axPos val="b"/>
        <c:numFmt formatCode="[$-409]mmm\-yy;@" sourceLinked="0"/>
        <c:majorTickMark val="out"/>
        <c:minorTickMark val="none"/>
        <c:tickLblPos val="nextTo"/>
        <c:txPr>
          <a:bodyPr/>
          <a:lstStyle/>
          <a:p>
            <a:pPr>
              <a:defRPr sz="1100" b="1">
                <a:solidFill>
                  <a:schemeClr val="tx2"/>
                </a:solidFill>
                <a:latin typeface="Arial" panose="020B0604020202020204" pitchFamily="34" charset="0"/>
                <a:cs typeface="Arial" panose="020B0604020202020204" pitchFamily="34" charset="0"/>
              </a:defRPr>
            </a:pPr>
            <a:endParaRPr lang="en-US"/>
          </a:p>
        </c:txPr>
        <c:crossAx val="222861880"/>
        <c:crossesAt val="0"/>
        <c:auto val="0"/>
        <c:lblOffset val="100"/>
        <c:baseTimeUnit val="months"/>
      </c:dateAx>
      <c:valAx>
        <c:axId val="222861880"/>
        <c:scaling>
          <c:orientation val="minMax"/>
          <c:max val="68000"/>
          <c:min val="0"/>
        </c:scaling>
        <c:delete val="0"/>
        <c:axPos val="l"/>
        <c:majorGridlines>
          <c:spPr>
            <a:ln w="3175">
              <a:prstDash val="sysDot"/>
            </a:ln>
          </c:spPr>
        </c:majorGridlines>
        <c:numFmt formatCode="###,##0\ &quot; MW&quot;" sourceLinked="0"/>
        <c:majorTickMark val="out"/>
        <c:minorTickMark val="none"/>
        <c:tickLblPos val="nextTo"/>
        <c:txPr>
          <a:bodyPr/>
          <a:lstStyle/>
          <a:p>
            <a:pPr>
              <a:defRPr sz="1200" b="1">
                <a:solidFill>
                  <a:schemeClr val="tx2"/>
                </a:solidFill>
                <a:latin typeface="Arial" panose="020B0604020202020204" pitchFamily="34" charset="0"/>
                <a:cs typeface="Arial" panose="020B0604020202020204" pitchFamily="34" charset="0"/>
              </a:defRPr>
            </a:pPr>
            <a:endParaRPr lang="en-US"/>
          </a:p>
        </c:txPr>
        <c:crossAx val="222862272"/>
        <c:crosses val="autoZero"/>
        <c:crossBetween val="between"/>
        <c:majorUnit val="4000"/>
      </c:valAx>
      <c:spPr>
        <a:noFill/>
        <a:ln>
          <a:noFill/>
        </a:ln>
        <a:effectLst/>
        <a:scene3d>
          <a:camera prst="orthographicFront"/>
          <a:lightRig rig="threePt" dir="t"/>
        </a:scene3d>
        <a:sp3d prstMaterial="matte"/>
      </c:spPr>
    </c:plotArea>
    <c:legend>
      <c:legendPos val="t"/>
      <c:legendEntry>
        <c:idx val="3"/>
        <c:delete val="1"/>
      </c:legendEntry>
      <c:legendEntry>
        <c:idx val="4"/>
        <c:delete val="1"/>
      </c:legendEntry>
      <c:layout>
        <c:manualLayout>
          <c:xMode val="edge"/>
          <c:yMode val="edge"/>
          <c:x val="8.5710403264719695E-2"/>
          <c:y val="4.1252302982898809E-2"/>
          <c:w val="0.89999995672428823"/>
          <c:h val="2.271929984122736E-2"/>
        </c:manualLayout>
      </c:layout>
      <c:overlay val="0"/>
      <c:txPr>
        <a:bodyPr/>
        <a:lstStyle/>
        <a:p>
          <a:pPr>
            <a:defRPr sz="1200">
              <a:solidFill>
                <a:schemeClr val="tx2"/>
              </a:solidFill>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000000000000033" l="0.70000000000000029" r="0.70000000000000029" t="0.75000000000000033" header="0.30000000000000016" footer="0.30000000000000016"/>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986328517942524E-2"/>
          <c:y val="6.8288666438340029E-2"/>
          <c:w val="0.91736610691845799"/>
          <c:h val="0.62264953880764906"/>
        </c:manualLayout>
      </c:layout>
      <c:barChart>
        <c:barDir val="col"/>
        <c:grouping val="stacked"/>
        <c:varyColors val="0"/>
        <c:ser>
          <c:idx val="0"/>
          <c:order val="0"/>
          <c:tx>
            <c:strRef>
              <c:f>'Battery Chart'!$C$60</c:f>
              <c:strCache>
                <c:ptCount val="1"/>
                <c:pt idx="0">
                  <c:v>Cumulative MW Operational </c:v>
                </c:pt>
              </c:strCache>
            </c:strRef>
          </c:tx>
          <c:spPr>
            <a:solidFill>
              <a:srgbClr val="9E170D"/>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'Battery Chart'!$A$61:$A$78</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'Battery Chart'!$C$61:$C$78</c:f>
              <c:numCache>
                <c:formatCode>#,##0</c:formatCode>
                <c:ptCount val="18"/>
                <c:pt idx="0">
                  <c:v>21536.669999999991</c:v>
                </c:pt>
                <c:pt idx="1">
                  <c:v>21536.669999999991</c:v>
                </c:pt>
                <c:pt idx="2">
                  <c:v>21536.669999999991</c:v>
                </c:pt>
                <c:pt idx="3">
                  <c:v>21536.669999999991</c:v>
                </c:pt>
                <c:pt idx="4">
                  <c:v>21536.669999999991</c:v>
                </c:pt>
                <c:pt idx="5">
                  <c:v>21536.669999999991</c:v>
                </c:pt>
                <c:pt idx="6">
                  <c:v>21536.669999999991</c:v>
                </c:pt>
                <c:pt idx="7">
                  <c:v>21536.669999999991</c:v>
                </c:pt>
                <c:pt idx="8">
                  <c:v>21536.669999999991</c:v>
                </c:pt>
                <c:pt idx="9">
                  <c:v>21536.669999999991</c:v>
                </c:pt>
                <c:pt idx="10">
                  <c:v>21536.669999999991</c:v>
                </c:pt>
                <c:pt idx="11">
                  <c:v>21536.669999999991</c:v>
                </c:pt>
                <c:pt idx="12">
                  <c:v>21536.669999999991</c:v>
                </c:pt>
                <c:pt idx="13">
                  <c:v>21536.669999999991</c:v>
                </c:pt>
                <c:pt idx="14">
                  <c:v>21536.669999999991</c:v>
                </c:pt>
                <c:pt idx="15">
                  <c:v>21536.669999999991</c:v>
                </c:pt>
                <c:pt idx="16">
                  <c:v>21536.669999999991</c:v>
                </c:pt>
                <c:pt idx="17">
                  <c:v>21536.669999999991</c:v>
                </c:pt>
              </c:numCache>
            </c:numRef>
          </c:val>
          <c:extLst>
            <c:ext xmlns:c16="http://schemas.microsoft.com/office/drawing/2014/chart" uri="{C3380CC4-5D6E-409C-BE32-E72D297353CC}">
              <c16:uniqueId val="{00000003-98B4-4E62-88E0-1977E78DC81B}"/>
            </c:ext>
          </c:extLst>
        </c:ser>
        <c:ser>
          <c:idx val="3"/>
          <c:order val="1"/>
          <c:tx>
            <c:v>IA Signed-Financial Security Posted </c:v>
          </c:tx>
          <c:spPr>
            <a:solidFill>
              <a:srgbClr val="DA8784"/>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3C16-478D-9F3A-C4F86C60CCFD}"/>
                </c:ext>
              </c:extLst>
            </c:dLbl>
            <c:dLbl>
              <c:idx val="1"/>
              <c:layout>
                <c:manualLayout>
                  <c:x val="-1.8159421674665585E-17"/>
                  <c:y val="2.28571428571428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21-407B-B07E-E1BE8CB27D7D}"/>
                </c:ext>
              </c:extLst>
            </c:dLbl>
            <c:dLbl>
              <c:idx val="2"/>
              <c:layout>
                <c:manualLayout>
                  <c:x val="0"/>
                  <c:y val="3.42857142857142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21-407B-B07E-E1BE8CB27D7D}"/>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'Battery Chart'!$A$61:$A$78</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'Battery Chart'!$D$61:$D$78</c:f>
              <c:numCache>
                <c:formatCode>#,##0</c:formatCode>
                <c:ptCount val="18"/>
                <c:pt idx="0">
                  <c:v>0</c:v>
                </c:pt>
                <c:pt idx="1">
                  <c:v>404.77</c:v>
                </c:pt>
                <c:pt idx="2">
                  <c:v>404.77</c:v>
                </c:pt>
                <c:pt idx="3">
                  <c:v>1205.8900000000001</c:v>
                </c:pt>
                <c:pt idx="4">
                  <c:v>1463.19</c:v>
                </c:pt>
                <c:pt idx="5">
                  <c:v>1566.72</c:v>
                </c:pt>
                <c:pt idx="6">
                  <c:v>1952.26</c:v>
                </c:pt>
                <c:pt idx="7">
                  <c:v>2317.9799999999996</c:v>
                </c:pt>
                <c:pt idx="8">
                  <c:v>2900.7599999999998</c:v>
                </c:pt>
                <c:pt idx="9">
                  <c:v>3519.13</c:v>
                </c:pt>
                <c:pt idx="10">
                  <c:v>4815.4000000000005</c:v>
                </c:pt>
                <c:pt idx="11">
                  <c:v>4815.4000000000005</c:v>
                </c:pt>
                <c:pt idx="12">
                  <c:v>5310.880000000001</c:v>
                </c:pt>
                <c:pt idx="13">
                  <c:v>5619.7600000000011</c:v>
                </c:pt>
                <c:pt idx="14">
                  <c:v>6187.8200000000015</c:v>
                </c:pt>
                <c:pt idx="15">
                  <c:v>7077.5600000000013</c:v>
                </c:pt>
                <c:pt idx="16">
                  <c:v>7391.3000000000011</c:v>
                </c:pt>
                <c:pt idx="17">
                  <c:v>8179.4000000000015</c:v>
                </c:pt>
              </c:numCache>
            </c:numRef>
          </c:val>
          <c:extLst>
            <c:ext xmlns:c16="http://schemas.microsoft.com/office/drawing/2014/chart" uri="{C3380CC4-5D6E-409C-BE32-E72D297353CC}">
              <c16:uniqueId val="{0000000C-98B4-4E62-88E0-1977E78DC81B}"/>
            </c:ext>
          </c:extLst>
        </c:ser>
        <c:ser>
          <c:idx val="1"/>
          <c:order val="2"/>
          <c:tx>
            <c:v>IA Signed-No Financial Security </c:v>
          </c:tx>
          <c:spPr>
            <a:solidFill>
              <a:srgbClr val="720000"/>
            </a:solidFill>
          </c:spPr>
          <c:invertIfNegative val="0"/>
          <c:dLbls>
            <c:dLbl>
              <c:idx val="0"/>
              <c:layout>
                <c:manualLayout>
                  <c:x val="-1.2876829576369465E-2"/>
                  <c:y val="-2.8571428571428612E-2"/>
                </c:manualLayout>
              </c:layout>
              <c:spPr>
                <a:noFill/>
                <a:ln>
                  <a:noFill/>
                </a:ln>
                <a:effectLst/>
              </c:spPr>
              <c:txPr>
                <a:bodyPr wrap="square" lIns="38100" tIns="19050" rIns="38100" bIns="19050" anchor="ctr">
                  <a:spAutoFit/>
                </a:bodyPr>
                <a:lstStyle/>
                <a:p>
                  <a:pPr>
                    <a:defRPr>
                      <a:solidFill>
                        <a:srgbClr val="720000"/>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E15-46D5-9E66-24F412FAA2EB}"/>
                </c:ext>
              </c:extLst>
            </c:dLbl>
            <c:dLbl>
              <c:idx val="1"/>
              <c:layout>
                <c:manualLayout>
                  <c:x val="-1.2876829576369465E-2"/>
                  <c:y val="-3.0857142857142816E-2"/>
                </c:manualLayout>
              </c:layout>
              <c:spPr>
                <a:noFill/>
                <a:ln>
                  <a:noFill/>
                </a:ln>
                <a:effectLst/>
              </c:spPr>
              <c:txPr>
                <a:bodyPr wrap="square" lIns="38100" tIns="19050" rIns="38100" bIns="19050" anchor="ctr">
                  <a:spAutoFit/>
                </a:bodyPr>
                <a:lstStyle/>
                <a:p>
                  <a:pPr>
                    <a:defRPr>
                      <a:solidFill>
                        <a:srgbClr val="720000"/>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15-46D5-9E66-24F412FAA2EB}"/>
                </c:ext>
              </c:extLst>
            </c:dLbl>
            <c:dLbl>
              <c:idx val="2"/>
              <c:layout>
                <c:manualLayout>
                  <c:x val="-1.1886304224341081E-2"/>
                  <c:y val="-3.6571428571428574E-2"/>
                </c:manualLayout>
              </c:layout>
              <c:spPr>
                <a:noFill/>
                <a:ln>
                  <a:noFill/>
                </a:ln>
                <a:effectLst/>
              </c:spPr>
              <c:txPr>
                <a:bodyPr wrap="square" lIns="38100" tIns="19050" rIns="38100" bIns="19050" anchor="ctr">
                  <a:spAutoFit/>
                </a:bodyPr>
                <a:lstStyle/>
                <a:p>
                  <a:pPr>
                    <a:defRPr>
                      <a:solidFill>
                        <a:srgbClr val="720000"/>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0-4328-BF8E-E18475478BA2}"/>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15-46D5-9E66-24F412FAA2EB}"/>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15-46D5-9E66-24F412FAA2EB}"/>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8B4-4E62-88E0-1977E78DC81B}"/>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72-42E7-A619-474582DFB7E6}"/>
                </c:ext>
              </c:extLst>
            </c:dLbl>
            <c:dLbl>
              <c:idx val="7"/>
              <c:layout>
                <c:manualLayout>
                  <c:x val="-9.9052535202842043E-4"/>
                  <c:y val="2.28571428571424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15-46D5-9E66-24F412FAA2EB}"/>
                </c:ext>
              </c:extLst>
            </c:dLbl>
            <c:dLbl>
              <c:idx val="8"/>
              <c:layout>
                <c:manualLayout>
                  <c:x val="-9.9052535202842043E-4"/>
                  <c:y val="2.285714285714285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5C-441D-94EA-6DE43FA01154}"/>
                </c:ext>
              </c:extLst>
            </c:dLbl>
            <c:dLbl>
              <c:idx val="9"/>
              <c:layout>
                <c:manualLayout>
                  <c:x val="-9.9052535202842043E-4"/>
                  <c:y val="-1.14285714285714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E9-4537-8FC7-8A0860275A08}"/>
                </c:ext>
              </c:extLst>
            </c:dLbl>
            <c:dLbl>
              <c:idx val="10"/>
              <c:layout>
                <c:manualLayout>
                  <c:x val="-1.9810507040568409E-3"/>
                  <c:y val="-2.285714285714327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E9-4537-8FC7-8A0860275A08}"/>
                </c:ext>
              </c:extLst>
            </c:dLbl>
            <c:dLbl>
              <c:idx val="11"/>
              <c:layout>
                <c:manualLayout>
                  <c:x val="9.9052535202842043E-4"/>
                  <c:y val="-4.190427782296865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E9-4537-8FC7-8A0860275A08}"/>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'Battery Chart'!$A$61:$A$78</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'Battery Chart'!$E$61:$E$78</c:f>
              <c:numCache>
                <c:formatCode>#,##0</c:formatCode>
                <c:ptCount val="18"/>
                <c:pt idx="0">
                  <c:v>133</c:v>
                </c:pt>
                <c:pt idx="1">
                  <c:v>133</c:v>
                </c:pt>
                <c:pt idx="2">
                  <c:v>633</c:v>
                </c:pt>
                <c:pt idx="3">
                  <c:v>1256.53</c:v>
                </c:pt>
                <c:pt idx="4">
                  <c:v>1256.53</c:v>
                </c:pt>
                <c:pt idx="5">
                  <c:v>1410.3</c:v>
                </c:pt>
                <c:pt idx="6">
                  <c:v>1410.3</c:v>
                </c:pt>
                <c:pt idx="7">
                  <c:v>1410.3</c:v>
                </c:pt>
                <c:pt idx="8">
                  <c:v>1666.3</c:v>
                </c:pt>
                <c:pt idx="9">
                  <c:v>2311.7199999999998</c:v>
                </c:pt>
                <c:pt idx="10">
                  <c:v>3181.67</c:v>
                </c:pt>
                <c:pt idx="11">
                  <c:v>3593.88</c:v>
                </c:pt>
                <c:pt idx="12">
                  <c:v>4068.8599999999997</c:v>
                </c:pt>
                <c:pt idx="13">
                  <c:v>4672.9999999999991</c:v>
                </c:pt>
                <c:pt idx="14">
                  <c:v>4976.6999999999989</c:v>
                </c:pt>
                <c:pt idx="15">
                  <c:v>6080.0199999999986</c:v>
                </c:pt>
                <c:pt idx="16">
                  <c:v>6661.0199999999986</c:v>
                </c:pt>
                <c:pt idx="17">
                  <c:v>6917.3599999999988</c:v>
                </c:pt>
              </c:numCache>
            </c:numRef>
          </c:val>
          <c:extLst>
            <c:ext xmlns:c16="http://schemas.microsoft.com/office/drawing/2014/chart" uri="{C3380CC4-5D6E-409C-BE32-E72D297353CC}">
              <c16:uniqueId val="{00000012-98B4-4E62-88E0-1977E78DC81B}"/>
            </c:ext>
          </c:extLst>
        </c:ser>
        <c:ser>
          <c:idx val="4"/>
          <c:order val="3"/>
          <c:tx>
            <c:strRef>
              <c:f>'Battery Chart'!$F$60</c:f>
              <c:strCache>
                <c:ptCount val="1"/>
                <c:pt idx="0">
                  <c:v>Small Generator</c:v>
                </c:pt>
              </c:strCache>
            </c:strRef>
          </c:tx>
          <c:spPr>
            <a:solidFill>
              <a:srgbClr val="685BC7"/>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2-3055-49EB-A012-18D5418C4898}"/>
                </c:ext>
              </c:extLst>
            </c:dLbl>
            <c:dLbl>
              <c:idx val="1"/>
              <c:delete val="1"/>
              <c:extLst>
                <c:ext xmlns:c15="http://schemas.microsoft.com/office/drawing/2012/chart" uri="{CE6537A1-D6FC-4f65-9D91-7224C49458BB}"/>
                <c:ext xmlns:c16="http://schemas.microsoft.com/office/drawing/2014/chart" uri="{C3380CC4-5D6E-409C-BE32-E72D297353CC}">
                  <c16:uniqueId val="{00000011-3055-49EB-A012-18D5418C4898}"/>
                </c:ext>
              </c:extLst>
            </c:dLbl>
            <c:dLbl>
              <c:idx val="2"/>
              <c:layout>
                <c:manualLayout>
                  <c:x val="-2.8725235208824192E-2"/>
                  <c:y val="-2.4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055-49EB-A012-18D5418C4898}"/>
                </c:ext>
              </c:extLst>
            </c:dLbl>
            <c:dLbl>
              <c:idx val="3"/>
              <c:layout>
                <c:manualLayout>
                  <c:x val="-2.4763133800710511E-2"/>
                  <c:y val="-2.4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055-49EB-A012-18D5418C4898}"/>
                </c:ext>
              </c:extLst>
            </c:dLbl>
            <c:dLbl>
              <c:idx val="4"/>
              <c:layout>
                <c:manualLayout>
                  <c:x val="-3.0814931725115367E-2"/>
                  <c:y val="-1.8285714285714287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055-49EB-A012-18D5418C4898}"/>
                </c:ext>
              </c:extLst>
            </c:dLbl>
            <c:dLbl>
              <c:idx val="5"/>
              <c:layout>
                <c:manualLayout>
                  <c:x val="-2.388125426091639E-2"/>
                  <c:y val="-2.2857142857142857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055-49EB-A012-18D5418C4898}"/>
                </c:ext>
              </c:extLst>
            </c:dLbl>
            <c:dLbl>
              <c:idx val="6"/>
              <c:layout>
                <c:manualLayout>
                  <c:x val="-2.6744223501828455E-2"/>
                  <c:y val="-2.9714240719910055E-2"/>
                </c:manualLayout>
              </c:layout>
              <c:spPr>
                <a:noFill/>
                <a:ln>
                  <a:noFill/>
                </a:ln>
                <a:effectLst/>
              </c:spPr>
              <c:txPr>
                <a:bodyPr wrap="square" lIns="38100" tIns="19050" rIns="38100" bIns="19050" anchor="ctr">
                  <a:no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492992580379225E-2"/>
                      <c:h val="2.114285714285714E-2"/>
                    </c:manualLayout>
                  </c15:layout>
                </c:ext>
                <c:ext xmlns:c16="http://schemas.microsoft.com/office/drawing/2014/chart" uri="{C3380CC4-5D6E-409C-BE32-E72D297353CC}">
                  <c16:uniqueId val="{0000000C-3055-49EB-A012-18D5418C4898}"/>
                </c:ext>
              </c:extLst>
            </c:dLbl>
            <c:dLbl>
              <c:idx val="7"/>
              <c:layout>
                <c:manualLayout>
                  <c:x val="-2.0909678204831129E-2"/>
                  <c:y val="-3.2000000000000084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055-49EB-A012-18D5418C4898}"/>
                </c:ext>
              </c:extLst>
            </c:dLbl>
            <c:dLbl>
              <c:idx val="8"/>
              <c:layout>
                <c:manualLayout>
                  <c:x val="-1.8819981688539988E-2"/>
                  <c:y val="-3.7714285714285672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055-49EB-A012-18D5418C4898}"/>
                </c:ext>
              </c:extLst>
            </c:dLbl>
            <c:dLbl>
              <c:idx val="9"/>
              <c:layout>
                <c:manualLayout>
                  <c:x val="-1.8819981688540061E-2"/>
                  <c:y val="-3.5428571428571469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55-49EB-A012-18D5418C4898}"/>
                </c:ext>
              </c:extLst>
            </c:dLbl>
            <c:dLbl>
              <c:idx val="10"/>
              <c:layout>
                <c:manualLayout>
                  <c:x val="-2.5753659152739077E-2"/>
                  <c:y val="-2.8571428571428612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55-49EB-A012-18D5418C4898}"/>
                </c:ext>
              </c:extLst>
            </c:dLbl>
            <c:dLbl>
              <c:idx val="11"/>
              <c:layout>
                <c:manualLayout>
                  <c:x val="-2.4763133800710511E-2"/>
                  <c:y val="-2.9714285714285714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55-49EB-A012-18D5418C4898}"/>
                </c:ext>
              </c:extLst>
            </c:dLbl>
            <c:dLbl>
              <c:idx val="12"/>
              <c:layout>
                <c:manualLayout>
                  <c:x val="-2.2782083096653669E-2"/>
                  <c:y val="-2.9714285714285756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55-49EB-A012-18D5418C4898}"/>
                </c:ext>
              </c:extLst>
            </c:dLbl>
            <c:dLbl>
              <c:idx val="13"/>
              <c:layout>
                <c:manualLayout>
                  <c:x val="-2.982440637308691E-2"/>
                  <c:y val="-2.5142857142857186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55-49EB-A012-18D5418C4898}"/>
                </c:ext>
              </c:extLst>
            </c:dLbl>
            <c:dLbl>
              <c:idx val="14"/>
              <c:layout>
                <c:manualLayout>
                  <c:x val="-2.674418450476735E-2"/>
                  <c:y val="-2.9714285714285735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55-49EB-A012-18D5418C4898}"/>
                </c:ext>
              </c:extLst>
            </c:dLbl>
            <c:dLbl>
              <c:idx val="15"/>
              <c:layout>
                <c:manualLayout>
                  <c:x val="-2.674418450476735E-2"/>
                  <c:y val="-2.9714285714285714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55-49EB-A012-18D5418C4898}"/>
                </c:ext>
              </c:extLst>
            </c:dLbl>
            <c:dLbl>
              <c:idx val="16"/>
              <c:layout>
                <c:manualLayout>
                  <c:x val="-2.7734709856795773E-2"/>
                  <c:y val="-2.2857142857142857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55-49EB-A012-18D5418C4898}"/>
                </c:ext>
              </c:extLst>
            </c:dLbl>
            <c:dLbl>
              <c:idx val="17"/>
              <c:layout>
                <c:manualLayout>
                  <c:x val="-3.1696811264909454E-2"/>
                  <c:y val="-1.599999999999999E-2"/>
                </c:manualLayout>
              </c:layout>
              <c:spPr>
                <a:noFill/>
                <a:ln>
                  <a:noFill/>
                </a:ln>
                <a:effectLst/>
              </c:spPr>
              <c:txPr>
                <a:bodyPr wrap="square" lIns="38100" tIns="19050" rIns="38100" bIns="19050" anchor="ctr">
                  <a:spAutoFit/>
                </a:bodyPr>
                <a:lstStyle/>
                <a:p>
                  <a:pPr>
                    <a:defRPr>
                      <a:solidFill>
                        <a:srgbClr val="685BC7"/>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55-49EB-A012-18D5418C4898}"/>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'Battery Chart'!$A$61:$A$78</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'Battery Chart'!$F$61:$F$78</c:f>
              <c:numCache>
                <c:formatCode>#,##0</c:formatCode>
                <c:ptCount val="18"/>
                <c:pt idx="0">
                  <c:v>0</c:v>
                </c:pt>
                <c:pt idx="1">
                  <c:v>0</c:v>
                </c:pt>
                <c:pt idx="2">
                  <c:v>38.799999999999997</c:v>
                </c:pt>
                <c:pt idx="3">
                  <c:v>58.69</c:v>
                </c:pt>
                <c:pt idx="4">
                  <c:v>74.179999999999993</c:v>
                </c:pt>
                <c:pt idx="5">
                  <c:v>93.98</c:v>
                </c:pt>
                <c:pt idx="6">
                  <c:v>113.96</c:v>
                </c:pt>
                <c:pt idx="7">
                  <c:v>113.96</c:v>
                </c:pt>
                <c:pt idx="8">
                  <c:v>113.96</c:v>
                </c:pt>
                <c:pt idx="9">
                  <c:v>113.96</c:v>
                </c:pt>
                <c:pt idx="10">
                  <c:v>113.96</c:v>
                </c:pt>
                <c:pt idx="11">
                  <c:v>123.94999999999999</c:v>
                </c:pt>
                <c:pt idx="12">
                  <c:v>123.94999999999999</c:v>
                </c:pt>
                <c:pt idx="13">
                  <c:v>123.94999999999999</c:v>
                </c:pt>
                <c:pt idx="14">
                  <c:v>123.94999999999999</c:v>
                </c:pt>
                <c:pt idx="15">
                  <c:v>123.94999999999999</c:v>
                </c:pt>
                <c:pt idx="16">
                  <c:v>123.94999999999999</c:v>
                </c:pt>
                <c:pt idx="17">
                  <c:v>123.94999999999999</c:v>
                </c:pt>
              </c:numCache>
            </c:numRef>
          </c:val>
          <c:extLst>
            <c:ext xmlns:c16="http://schemas.microsoft.com/office/drawing/2014/chart" uri="{C3380CC4-5D6E-409C-BE32-E72D297353CC}">
              <c16:uniqueId val="{00000016-98B4-4E62-88E0-1977E78DC81B}"/>
            </c:ext>
          </c:extLst>
        </c:ser>
        <c:ser>
          <c:idx val="2"/>
          <c:order val="4"/>
          <c:tx>
            <c:v>Cumulative Installed and Planned</c:v>
          </c:tx>
          <c:spPr>
            <a:noFill/>
          </c:spPr>
          <c:invertIfNegative val="0"/>
          <c:dLbls>
            <c:dLbl>
              <c:idx val="0"/>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7-98B4-4E62-88E0-1977E78DC81B}"/>
                </c:ext>
              </c:extLst>
            </c:dLbl>
            <c:dLbl>
              <c:idx val="1"/>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8-98B4-4E62-88E0-1977E78DC81B}"/>
                </c:ext>
              </c:extLst>
            </c:dLbl>
            <c:dLbl>
              <c:idx val="2"/>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9-98B4-4E62-88E0-1977E78DC81B}"/>
                </c:ext>
              </c:extLst>
            </c:dLbl>
            <c:dLbl>
              <c:idx val="3"/>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A-98B4-4E62-88E0-1977E78DC81B}"/>
                </c:ext>
              </c:extLst>
            </c:dLbl>
            <c:dLbl>
              <c:idx val="4"/>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B-98B4-4E62-88E0-1977E78DC81B}"/>
                </c:ext>
              </c:extLst>
            </c:dLbl>
            <c:dLbl>
              <c:idx val="5"/>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C-98B4-4E62-88E0-1977E78DC81B}"/>
                </c:ext>
              </c:extLst>
            </c:dLbl>
            <c:dLbl>
              <c:idx val="6"/>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D-98B4-4E62-88E0-1977E78DC81B}"/>
                </c:ext>
              </c:extLst>
            </c:dLbl>
            <c:dLbl>
              <c:idx val="7"/>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E-98B4-4E62-88E0-1977E78DC81B}"/>
                </c:ext>
              </c:extLst>
            </c:dLbl>
            <c:dLbl>
              <c:idx val="8"/>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F-98B4-4E62-88E0-1977E78DC81B}"/>
                </c:ext>
              </c:extLst>
            </c:dLbl>
            <c:dLbl>
              <c:idx val="9"/>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0-98B4-4E62-88E0-1977E78DC81B}"/>
                </c:ext>
              </c:extLst>
            </c:dLbl>
            <c:dLbl>
              <c:idx val="10"/>
              <c:layout>
                <c:manualLayout>
                  <c:x val="1.2777777041165898E-3"/>
                  <c:y val="0.17528557930258717"/>
                </c:manualLayout>
              </c:layout>
              <c:spPr>
                <a:noFill/>
                <a:ln>
                  <a:noFill/>
                </a:ln>
                <a:effectLst/>
              </c:spPr>
              <c:txPr>
                <a:bodyPr/>
                <a:lstStyle/>
                <a:p>
                  <a:pPr algn="ctr">
                    <a:defRPr sz="1000" b="1">
                      <a:solidFill>
                        <a:schemeClr val="tx2"/>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8B4-4E62-88E0-1977E78DC81B}"/>
                </c:ext>
              </c:extLst>
            </c:dLbl>
            <c:dLbl>
              <c:idx val="11"/>
              <c:spPr>
                <a:noFill/>
                <a:ln>
                  <a:noFill/>
                </a:ln>
                <a:effectLst/>
              </c:spPr>
              <c:txPr>
                <a:bodyPr/>
                <a:lstStyle/>
                <a:p>
                  <a:pPr algn="ctr">
                    <a:defRPr sz="1000" b="1">
                      <a:solidFill>
                        <a:schemeClr val="tx2"/>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2-98B4-4E62-88E0-1977E78DC81B}"/>
                </c:ext>
              </c:extLst>
            </c:dLbl>
            <c:spPr>
              <a:noFill/>
              <a:ln>
                <a:noFill/>
              </a:ln>
              <a:effectLst/>
            </c:spPr>
            <c:txPr>
              <a:bodyPr/>
              <a:lstStyle/>
              <a:p>
                <a:pPr algn="ctr">
                  <a:defRPr b="1">
                    <a:solidFill>
                      <a:schemeClr val="tx2"/>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'Battery Chart'!$A$61:$A$78</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'Battery Chart'!$B$61:$B$78</c:f>
              <c:numCache>
                <c:formatCode>#,##0</c:formatCode>
                <c:ptCount val="18"/>
                <c:pt idx="0">
                  <c:v>21669.669999999991</c:v>
                </c:pt>
                <c:pt idx="1">
                  <c:v>22074.439999999991</c:v>
                </c:pt>
                <c:pt idx="2">
                  <c:v>22613.239999999991</c:v>
                </c:pt>
                <c:pt idx="3">
                  <c:v>24057.779999999988</c:v>
                </c:pt>
                <c:pt idx="4">
                  <c:v>24330.569999999989</c:v>
                </c:pt>
                <c:pt idx="5">
                  <c:v>24607.669999999991</c:v>
                </c:pt>
                <c:pt idx="6">
                  <c:v>25013.189999999988</c:v>
                </c:pt>
                <c:pt idx="7">
                  <c:v>25378.909999999989</c:v>
                </c:pt>
                <c:pt idx="8">
                  <c:v>26217.689999999988</c:v>
                </c:pt>
                <c:pt idx="9">
                  <c:v>27481.479999999992</c:v>
                </c:pt>
                <c:pt idx="10">
                  <c:v>29647.69999999999</c:v>
                </c:pt>
                <c:pt idx="11">
                  <c:v>30069.899999999994</c:v>
                </c:pt>
                <c:pt idx="12">
                  <c:v>31040.359999999993</c:v>
                </c:pt>
                <c:pt idx="13">
                  <c:v>31953.379999999994</c:v>
                </c:pt>
                <c:pt idx="14">
                  <c:v>32825.139999999985</c:v>
                </c:pt>
                <c:pt idx="15">
                  <c:v>34818.19999999999</c:v>
                </c:pt>
                <c:pt idx="16">
                  <c:v>35712.939999999988</c:v>
                </c:pt>
                <c:pt idx="17">
                  <c:v>36757.37999999999</c:v>
                </c:pt>
              </c:numCache>
            </c:numRef>
          </c:val>
          <c:extLst>
            <c:ext xmlns:c16="http://schemas.microsoft.com/office/drawing/2014/chart" uri="{C3380CC4-5D6E-409C-BE32-E72D297353CC}">
              <c16:uniqueId val="{00000023-98B4-4E62-88E0-1977E78DC81B}"/>
            </c:ext>
          </c:extLst>
        </c:ser>
        <c:dLbls>
          <c:showLegendKey val="0"/>
          <c:showVal val="0"/>
          <c:showCatName val="0"/>
          <c:showSerName val="0"/>
          <c:showPercent val="0"/>
          <c:showBubbleSize val="0"/>
        </c:dLbls>
        <c:gapWidth val="12"/>
        <c:overlap val="100"/>
        <c:axId val="222862664"/>
        <c:axId val="222859136"/>
      </c:barChart>
      <c:dateAx>
        <c:axId val="222862664"/>
        <c:scaling>
          <c:orientation val="minMax"/>
        </c:scaling>
        <c:delete val="0"/>
        <c:axPos val="b"/>
        <c:numFmt formatCode="[$-409]mmm\-yy;@" sourceLinked="0"/>
        <c:majorTickMark val="out"/>
        <c:minorTickMark val="none"/>
        <c:tickLblPos val="nextTo"/>
        <c:txPr>
          <a:bodyPr/>
          <a:lstStyle/>
          <a:p>
            <a:pPr>
              <a:defRPr sz="1100" b="1">
                <a:solidFill>
                  <a:schemeClr val="tx2"/>
                </a:solidFill>
              </a:defRPr>
            </a:pPr>
            <a:endParaRPr lang="en-US"/>
          </a:p>
        </c:txPr>
        <c:crossAx val="222859136"/>
        <c:crossesAt val="0"/>
        <c:auto val="1"/>
        <c:lblOffset val="100"/>
        <c:baseTimeUnit val="months"/>
      </c:dateAx>
      <c:valAx>
        <c:axId val="222859136"/>
        <c:scaling>
          <c:orientation val="minMax"/>
          <c:max val="45000"/>
          <c:min val="0"/>
        </c:scaling>
        <c:delete val="0"/>
        <c:axPos val="l"/>
        <c:majorGridlines>
          <c:spPr>
            <a:ln w="3175">
              <a:prstDash val="sysDot"/>
            </a:ln>
          </c:spPr>
        </c:majorGridlines>
        <c:numFmt formatCode="###,##0\ &quot; MW&quot;" sourceLinked="0"/>
        <c:majorTickMark val="out"/>
        <c:minorTickMark val="none"/>
        <c:tickLblPos val="nextTo"/>
        <c:txPr>
          <a:bodyPr/>
          <a:lstStyle/>
          <a:p>
            <a:pPr>
              <a:defRPr sz="1200" b="1">
                <a:solidFill>
                  <a:schemeClr val="tx2"/>
                </a:solidFill>
              </a:defRPr>
            </a:pPr>
            <a:endParaRPr lang="en-US"/>
          </a:p>
        </c:txPr>
        <c:crossAx val="222862664"/>
        <c:crosses val="autoZero"/>
        <c:crossBetween val="between"/>
      </c:valAx>
      <c:spPr>
        <a:noFill/>
        <a:ln>
          <a:noFill/>
        </a:ln>
        <a:effectLst/>
        <a:scene3d>
          <a:camera prst="orthographicFront"/>
          <a:lightRig rig="threePt" dir="t"/>
        </a:scene3d>
        <a:sp3d prstMaterial="matte"/>
      </c:spPr>
    </c:plotArea>
    <c:legend>
      <c:legendPos val="t"/>
      <c:legendEntry>
        <c:idx val="4"/>
        <c:delete val="1"/>
      </c:legendEntry>
      <c:layout>
        <c:manualLayout>
          <c:xMode val="edge"/>
          <c:yMode val="edge"/>
          <c:x val="9.0523527922571095E-2"/>
          <c:y val="4.1142857142857141E-2"/>
          <c:w val="0.89999995672428823"/>
          <c:h val="2.2029606299212599E-2"/>
        </c:manualLayout>
      </c:layout>
      <c:overlay val="0"/>
      <c:txPr>
        <a:bodyPr/>
        <a:lstStyle/>
        <a:p>
          <a:pPr>
            <a:defRPr lang="en-US" sz="12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ln>
      <a:noFill/>
    </a:ln>
  </c:spPr>
  <c:txPr>
    <a:bodyPr/>
    <a:lstStyle/>
    <a:p>
      <a:pPr>
        <a:defRPr>
          <a:latin typeface="Arial" panose="020B0604020202020204" pitchFamily="34" charset="0"/>
          <a:cs typeface="Arial" panose="020B0604020202020204" pitchFamily="34" charset="0"/>
        </a:defRPr>
      </a:pPr>
      <a:endParaRPr lang="en-US"/>
    </a:p>
  </c:txPr>
  <c:printSettings>
    <c:headerFooter/>
    <c:pageMargins b="0.75000000000000033" l="0.70000000000000029" r="0.70000000000000029" t="0.75000000000000033" header="0.30000000000000016" footer="0.30000000000000016"/>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986328517942524E-2"/>
          <c:y val="6.8288666438340029E-2"/>
          <c:w val="0.91736610691845799"/>
          <c:h val="0.63380122522805815"/>
        </c:manualLayout>
      </c:layout>
      <c:barChart>
        <c:barDir val="col"/>
        <c:grouping val="stacked"/>
        <c:varyColors val="0"/>
        <c:ser>
          <c:idx val="0"/>
          <c:order val="0"/>
          <c:tx>
            <c:strRef>
              <c:f>'Gas-Combined Cycle Chart'!$C$54</c:f>
              <c:strCache>
                <c:ptCount val="1"/>
                <c:pt idx="0">
                  <c:v>Cumulative MW Operational </c:v>
                </c:pt>
              </c:strCache>
            </c:strRef>
          </c:tx>
          <c:spPr>
            <a:solidFill>
              <a:srgbClr val="00AEC7"/>
            </a:solidFill>
          </c:spPr>
          <c:invertIfNegative val="0"/>
          <c:dLbls>
            <c:spPr>
              <a:noFill/>
              <a:ln>
                <a:noFill/>
              </a:ln>
              <a:effectLst/>
            </c:spPr>
            <c:txPr>
              <a:bodyPr wrap="square" lIns="38100" tIns="19050" rIns="38100" bIns="19050" anchor="ctr">
                <a:spAutoFit/>
              </a:bodyPr>
              <a:lstStyle/>
              <a:p>
                <a:pPr>
                  <a:defRPr>
                    <a:solidFill>
                      <a:schemeClr val="bg1"/>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'Gas-Combined Cycle Chart'!$A$55:$A$72</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'Gas-Combined Cycle Chart'!$C$55:$C$72</c:f>
              <c:numCache>
                <c:formatCode>#,##0</c:formatCode>
                <c:ptCount val="18"/>
                <c:pt idx="0">
                  <c:v>44025.609000000004</c:v>
                </c:pt>
                <c:pt idx="1">
                  <c:v>44025.609000000004</c:v>
                </c:pt>
                <c:pt idx="2">
                  <c:v>44025.609000000004</c:v>
                </c:pt>
                <c:pt idx="3">
                  <c:v>44025.609000000004</c:v>
                </c:pt>
                <c:pt idx="4">
                  <c:v>44025.609000000004</c:v>
                </c:pt>
                <c:pt idx="5">
                  <c:v>44025.609000000004</c:v>
                </c:pt>
                <c:pt idx="6">
                  <c:v>44025.609000000004</c:v>
                </c:pt>
                <c:pt idx="7">
                  <c:v>44025.609000000004</c:v>
                </c:pt>
                <c:pt idx="8">
                  <c:v>44025.609000000004</c:v>
                </c:pt>
                <c:pt idx="9">
                  <c:v>44025.609000000004</c:v>
                </c:pt>
                <c:pt idx="10">
                  <c:v>44025.609000000004</c:v>
                </c:pt>
                <c:pt idx="11">
                  <c:v>44025.609000000004</c:v>
                </c:pt>
                <c:pt idx="12">
                  <c:v>44025.609000000004</c:v>
                </c:pt>
                <c:pt idx="13">
                  <c:v>44025.609000000004</c:v>
                </c:pt>
                <c:pt idx="14">
                  <c:v>44025.609000000004</c:v>
                </c:pt>
                <c:pt idx="15">
                  <c:v>44025.609000000004</c:v>
                </c:pt>
                <c:pt idx="16">
                  <c:v>44025.609000000004</c:v>
                </c:pt>
                <c:pt idx="17">
                  <c:v>44025.609000000004</c:v>
                </c:pt>
              </c:numCache>
            </c:numRef>
          </c:val>
          <c:extLst>
            <c:ext xmlns:c16="http://schemas.microsoft.com/office/drawing/2014/chart" uri="{C3380CC4-5D6E-409C-BE32-E72D297353CC}">
              <c16:uniqueId val="{00000005-8F0C-4678-9C84-994CD634B275}"/>
            </c:ext>
          </c:extLst>
        </c:ser>
        <c:ser>
          <c:idx val="3"/>
          <c:order val="1"/>
          <c:tx>
            <c:v>IA Signed-Financial Security Posted </c:v>
          </c:tx>
          <c:spPr>
            <a:solidFill>
              <a:srgbClr val="890C58"/>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D1F3-447D-B274-83DB080CC33C}"/>
                </c:ext>
              </c:extLst>
            </c:dLbl>
            <c:dLbl>
              <c:idx val="1"/>
              <c:delete val="1"/>
              <c:extLst>
                <c:ext xmlns:c15="http://schemas.microsoft.com/office/drawing/2012/chart" uri="{CE6537A1-D6FC-4f65-9D91-7224C49458BB}"/>
                <c:ext xmlns:c16="http://schemas.microsoft.com/office/drawing/2014/chart" uri="{C3380CC4-5D6E-409C-BE32-E72D297353CC}">
                  <c16:uniqueId val="{00000005-D1F3-447D-B274-83DB080CC33C}"/>
                </c:ext>
              </c:extLst>
            </c:dLbl>
            <c:dLbl>
              <c:idx val="2"/>
              <c:delete val="1"/>
              <c:extLst>
                <c:ext xmlns:c15="http://schemas.microsoft.com/office/drawing/2012/chart" uri="{CE6537A1-D6FC-4f65-9D91-7224C49458BB}"/>
                <c:ext xmlns:c16="http://schemas.microsoft.com/office/drawing/2014/chart" uri="{C3380CC4-5D6E-409C-BE32-E72D297353CC}">
                  <c16:uniqueId val="{00000004-D1F3-447D-B274-83DB080CC33C}"/>
                </c:ext>
              </c:extLst>
            </c:dLbl>
            <c:dLbl>
              <c:idx val="3"/>
              <c:layout>
                <c:manualLayout>
                  <c:x val="-3.6460162790719138E-17"/>
                  <c:y val="7.640879467232158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F3-447D-B274-83DB080CC33C}"/>
                </c:ext>
              </c:extLst>
            </c:dLbl>
            <c:dLbl>
              <c:idx val="4"/>
              <c:layout>
                <c:manualLayout>
                  <c:x val="3.6460162790719138E-17"/>
                  <c:y val="8.914359378437517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F3-447D-B274-83DB080CC33C}"/>
                </c:ext>
              </c:extLst>
            </c:dLbl>
            <c:dLbl>
              <c:idx val="5"/>
              <c:layout>
                <c:manualLayout>
                  <c:x val="0"/>
                  <c:y val="8.914359378437517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F3-447D-B274-83DB080CC33C}"/>
                </c:ext>
              </c:extLst>
            </c:dLbl>
            <c:dLbl>
              <c:idx val="6"/>
              <c:layout>
                <c:manualLayout>
                  <c:x val="0"/>
                  <c:y val="6.36739955602679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1F-49A1-AB0E-DF3613E29071}"/>
                </c:ext>
              </c:extLst>
            </c:dLbl>
            <c:dLbl>
              <c:idx val="7"/>
              <c:layout>
                <c:manualLayout>
                  <c:x val="0"/>
                  <c:y val="7.640879467232158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41F-49A1-AB0E-DF3613E29071}"/>
                </c:ext>
              </c:extLst>
            </c:dLbl>
            <c:dLbl>
              <c:idx val="8"/>
              <c:layout>
                <c:manualLayout>
                  <c:x val="0"/>
                  <c:y val="6.36739955602679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1F-49A1-AB0E-DF3613E29071}"/>
                </c:ext>
              </c:extLst>
            </c:dLbl>
            <c:dLbl>
              <c:idx val="9"/>
              <c:layout>
                <c:manualLayout>
                  <c:x val="0"/>
                  <c:y val="6.36739955602679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1F-49A1-AB0E-DF3613E29071}"/>
                </c:ext>
              </c:extLst>
            </c:dLbl>
            <c:dLbl>
              <c:idx val="10"/>
              <c:layout>
                <c:manualLayout>
                  <c:x val="-7.2920325581438275E-17"/>
                  <c:y val="5.09391964482143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1F-49A1-AB0E-DF3613E29071}"/>
                </c:ext>
              </c:extLst>
            </c:dLbl>
            <c:dLbl>
              <c:idx val="11"/>
              <c:layout>
                <c:manualLayout>
                  <c:x val="-1.4584065116287655E-16"/>
                  <c:y val="6.36739955602679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1F-49A1-AB0E-DF3613E29071}"/>
                </c:ext>
              </c:extLst>
            </c:dLbl>
            <c:dLbl>
              <c:idx val="12"/>
              <c:layout>
                <c:manualLayout>
                  <c:x val="-1.4584065116287655E-16"/>
                  <c:y val="6.36739955602679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1F-49A1-AB0E-DF3613E29071}"/>
                </c:ext>
              </c:extLst>
            </c:dLbl>
            <c:dLbl>
              <c:idx val="13"/>
              <c:layout>
                <c:manualLayout>
                  <c:x val="-9.9437956313538998E-4"/>
                  <c:y val="5.09391964482143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1F-49A1-AB0E-DF3613E29071}"/>
                </c:ext>
              </c:extLst>
            </c:dLbl>
            <c:dLbl>
              <c:idx val="14"/>
              <c:layout>
                <c:manualLayout>
                  <c:x val="-9.9437956313538998E-4"/>
                  <c:y val="7.640879467232158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1F-49A1-AB0E-DF3613E29071}"/>
                </c:ext>
              </c:extLst>
            </c:dLbl>
            <c:dLbl>
              <c:idx val="15"/>
              <c:layout>
                <c:manualLayout>
                  <c:x val="0"/>
                  <c:y val="7.640879467232158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1F-49A1-AB0E-DF3613E29071}"/>
                </c:ext>
              </c:extLst>
            </c:dLbl>
            <c:dLbl>
              <c:idx val="16"/>
              <c:layout>
                <c:manualLayout>
                  <c:x val="0"/>
                  <c:y val="8.914359378437517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1F-49A1-AB0E-DF3613E29071}"/>
                </c:ext>
              </c:extLst>
            </c:dLbl>
            <c:dLbl>
              <c:idx val="17"/>
              <c:layout>
                <c:manualLayout>
                  <c:x val="0"/>
                  <c:y val="8.914359378437517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1F-49A1-AB0E-DF3613E29071}"/>
                </c:ext>
              </c:extLst>
            </c:dLbl>
            <c:spPr>
              <a:noFill/>
              <a:ln>
                <a:noFill/>
              </a:ln>
              <a:effectLst/>
            </c:spPr>
            <c:txPr>
              <a:bodyPr wrap="square" lIns="38100" tIns="19050" rIns="38100" bIns="19050" anchor="ctr">
                <a:spAutoFit/>
              </a:bodyPr>
              <a:lstStyle/>
              <a:p>
                <a:pPr>
                  <a:defRPr>
                    <a:solidFill>
                      <a:schemeClr val="bg1"/>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rgbClr val="5B6770"/>
                      </a:solidFill>
                    </a:ln>
                  </c:spPr>
                </c15:leaderLines>
              </c:ext>
            </c:extLst>
          </c:dLbls>
          <c:cat>
            <c:numRef>
              <c:f>'Gas-Combined Cycle Chart'!$A$55:$A$72</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'Gas-Combined Cycle Chart'!$D$55:$D$72</c:f>
              <c:numCache>
                <c:formatCode>#,##0</c:formatCode>
                <c:ptCount val="18"/>
                <c:pt idx="0">
                  <c:v>0</c:v>
                </c:pt>
                <c:pt idx="1">
                  <c:v>0</c:v>
                </c:pt>
                <c:pt idx="2">
                  <c:v>0</c:v>
                </c:pt>
                <c:pt idx="3">
                  <c:v>21</c:v>
                </c:pt>
                <c:pt idx="4">
                  <c:v>21</c:v>
                </c:pt>
                <c:pt idx="5">
                  <c:v>21</c:v>
                </c:pt>
                <c:pt idx="6">
                  <c:v>21</c:v>
                </c:pt>
                <c:pt idx="7">
                  <c:v>21</c:v>
                </c:pt>
                <c:pt idx="8">
                  <c:v>21</c:v>
                </c:pt>
                <c:pt idx="9">
                  <c:v>21</c:v>
                </c:pt>
                <c:pt idx="10">
                  <c:v>21</c:v>
                </c:pt>
                <c:pt idx="11">
                  <c:v>21</c:v>
                </c:pt>
                <c:pt idx="12">
                  <c:v>21</c:v>
                </c:pt>
                <c:pt idx="13">
                  <c:v>21</c:v>
                </c:pt>
                <c:pt idx="14">
                  <c:v>21</c:v>
                </c:pt>
                <c:pt idx="15">
                  <c:v>21</c:v>
                </c:pt>
                <c:pt idx="16">
                  <c:v>21</c:v>
                </c:pt>
                <c:pt idx="17">
                  <c:v>21</c:v>
                </c:pt>
              </c:numCache>
            </c:numRef>
          </c:val>
          <c:extLst>
            <c:ext xmlns:c16="http://schemas.microsoft.com/office/drawing/2014/chart" uri="{C3380CC4-5D6E-409C-BE32-E72D297353CC}">
              <c16:uniqueId val="{0000000D-8F0C-4678-9C84-994CD634B275}"/>
            </c:ext>
          </c:extLst>
        </c:ser>
        <c:ser>
          <c:idx val="1"/>
          <c:order val="2"/>
          <c:tx>
            <c:v>IA Signed-No Financial Security </c:v>
          </c:tx>
          <c:spPr>
            <a:solidFill>
              <a:srgbClr val="26D07C"/>
            </a:solidFill>
          </c:spPr>
          <c:invertIfNegative val="0"/>
          <c:cat>
            <c:numRef>
              <c:f>'Gas-Combined Cycle Chart'!$A$55:$A$72</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'Gas-Combined Cycle Chart'!$E$55:$E$72</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E-8F0C-4678-9C84-994CD634B275}"/>
            </c:ext>
          </c:extLst>
        </c:ser>
        <c:ser>
          <c:idx val="4"/>
          <c:order val="3"/>
          <c:tx>
            <c:v>Other Planned</c:v>
          </c:tx>
          <c:spPr>
            <a:solidFill>
              <a:srgbClr val="685BC7"/>
            </a:solidFill>
          </c:spPr>
          <c:invertIfNegative val="0"/>
          <c:cat>
            <c:numRef>
              <c:f>'Gas-Combined Cycle Chart'!$A$55:$A$72</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'Gas-Combined Cycle Chart'!$F$55:$F$72</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F-8F0C-4678-9C84-994CD634B275}"/>
            </c:ext>
          </c:extLst>
        </c:ser>
        <c:ser>
          <c:idx val="2"/>
          <c:order val="4"/>
          <c:tx>
            <c:v>Cumulative Installed and Planned</c:v>
          </c:tx>
          <c:spPr>
            <a:noFill/>
          </c:spPr>
          <c:invertIfNegative val="0"/>
          <c:dLbls>
            <c:dLbl>
              <c:idx val="0"/>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0-8F0C-4678-9C84-994CD634B275}"/>
                </c:ext>
              </c:extLst>
            </c:dLbl>
            <c:dLbl>
              <c:idx val="1"/>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1-8F0C-4678-9C84-994CD634B275}"/>
                </c:ext>
              </c:extLst>
            </c:dLbl>
            <c:dLbl>
              <c:idx val="2"/>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2-8F0C-4678-9C84-994CD634B275}"/>
                </c:ext>
              </c:extLst>
            </c:dLbl>
            <c:dLbl>
              <c:idx val="3"/>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3-8F0C-4678-9C84-994CD634B275}"/>
                </c:ext>
              </c:extLst>
            </c:dLbl>
            <c:dLbl>
              <c:idx val="4"/>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4-8F0C-4678-9C84-994CD634B275}"/>
                </c:ext>
              </c:extLst>
            </c:dLbl>
            <c:dLbl>
              <c:idx val="5"/>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5-8F0C-4678-9C84-994CD634B275}"/>
                </c:ext>
              </c:extLst>
            </c:dLbl>
            <c:dLbl>
              <c:idx val="6"/>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6-8F0C-4678-9C84-994CD634B275}"/>
                </c:ext>
              </c:extLst>
            </c:dLbl>
            <c:dLbl>
              <c:idx val="7"/>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7-8F0C-4678-9C84-994CD634B275}"/>
                </c:ext>
              </c:extLst>
            </c:dLbl>
            <c:dLbl>
              <c:idx val="8"/>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8-8F0C-4678-9C84-994CD634B275}"/>
                </c:ext>
              </c:extLst>
            </c:dLbl>
            <c:dLbl>
              <c:idx val="9"/>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9-8F0C-4678-9C84-994CD634B275}"/>
                </c:ext>
              </c:extLst>
            </c:dLbl>
            <c:dLbl>
              <c:idx val="10"/>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A-8F0C-4678-9C84-994CD634B275}"/>
                </c:ext>
              </c:extLst>
            </c:dLbl>
            <c:dLbl>
              <c:idx val="11"/>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B-8F0C-4678-9C84-994CD634B275}"/>
                </c:ext>
              </c:extLst>
            </c:dLbl>
            <c:dLbl>
              <c:idx val="12"/>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C-8F0C-4678-9C84-994CD634B275}"/>
                </c:ext>
              </c:extLst>
            </c:dLbl>
            <c:dLbl>
              <c:idx val="13"/>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D-8F0C-4678-9C84-994CD634B275}"/>
                </c:ext>
              </c:extLst>
            </c:dLbl>
            <c:dLbl>
              <c:idx val="14"/>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E-8F0C-4678-9C84-994CD634B275}"/>
                </c:ext>
              </c:extLst>
            </c:dLbl>
            <c:dLbl>
              <c:idx val="15"/>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F-8F0C-4678-9C84-994CD634B275}"/>
                </c:ext>
              </c:extLst>
            </c:dLbl>
            <c:dLbl>
              <c:idx val="16"/>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0-8F0C-4678-9C84-994CD634B275}"/>
                </c:ext>
              </c:extLst>
            </c:dLbl>
            <c:dLbl>
              <c:idx val="17"/>
              <c:spPr>
                <a:noFill/>
                <a:ln>
                  <a:noFill/>
                </a:ln>
                <a:effectLst/>
              </c:spPr>
              <c:txPr>
                <a:bodyPr wrap="square" lIns="38100" tIns="19050" rIns="38100" bIns="19050" anchor="ctr" anchorCtr="0">
                  <a:spAutoFit/>
                </a:bodyPr>
                <a:lstStyle/>
                <a:p>
                  <a:pPr algn="ctr">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21-8F0C-4678-9C84-994CD634B275}"/>
                </c:ext>
              </c:extLst>
            </c:dLbl>
            <c:spPr>
              <a:noFill/>
              <a:ln>
                <a:noFill/>
              </a:ln>
              <a:effectLst/>
            </c:spPr>
            <c:txPr>
              <a:bodyPr wrap="square" lIns="38100" tIns="19050" rIns="38100" bIns="19050" anchor="ctr" anchorCtr="0">
                <a:spAutoFit/>
              </a:bodyPr>
              <a:lstStyle/>
              <a:p>
                <a:pPr algn="ctr">
                  <a:defRPr lang="en-US" sz="900" b="1" i="0" u="none" strike="noStrike" kern="1200" baseline="0">
                    <a:solidFill>
                      <a:srgbClr val="5B677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'Gas-Combined Cycle Chart'!$A$55:$A$72</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'Gas-Combined Cycle Chart'!$B$55:$B$72</c:f>
              <c:numCache>
                <c:formatCode>#,##0</c:formatCode>
                <c:ptCount val="18"/>
                <c:pt idx="0">
                  <c:v>44025.609000000004</c:v>
                </c:pt>
                <c:pt idx="1">
                  <c:v>44025.609000000004</c:v>
                </c:pt>
                <c:pt idx="2">
                  <c:v>44025.609000000004</c:v>
                </c:pt>
                <c:pt idx="3">
                  <c:v>44046.609000000004</c:v>
                </c:pt>
                <c:pt idx="4">
                  <c:v>44046.609000000004</c:v>
                </c:pt>
                <c:pt idx="5">
                  <c:v>44046.609000000004</c:v>
                </c:pt>
                <c:pt idx="6">
                  <c:v>44046.609000000004</c:v>
                </c:pt>
                <c:pt idx="7">
                  <c:v>44046.609000000004</c:v>
                </c:pt>
                <c:pt idx="8">
                  <c:v>44046.609000000004</c:v>
                </c:pt>
                <c:pt idx="9">
                  <c:v>44046.609000000004</c:v>
                </c:pt>
                <c:pt idx="10">
                  <c:v>44046.609000000004</c:v>
                </c:pt>
                <c:pt idx="11">
                  <c:v>44046.609000000004</c:v>
                </c:pt>
                <c:pt idx="12">
                  <c:v>44046.609000000004</c:v>
                </c:pt>
                <c:pt idx="13">
                  <c:v>44046.609000000004</c:v>
                </c:pt>
                <c:pt idx="14">
                  <c:v>44046.609000000004</c:v>
                </c:pt>
                <c:pt idx="15">
                  <c:v>44046.609000000004</c:v>
                </c:pt>
                <c:pt idx="16">
                  <c:v>44046.609000000004</c:v>
                </c:pt>
                <c:pt idx="17">
                  <c:v>44046.609000000004</c:v>
                </c:pt>
              </c:numCache>
            </c:numRef>
          </c:val>
          <c:extLst>
            <c:ext xmlns:c16="http://schemas.microsoft.com/office/drawing/2014/chart" uri="{C3380CC4-5D6E-409C-BE32-E72D297353CC}">
              <c16:uniqueId val="{00000028-8F0C-4678-9C84-994CD634B275}"/>
            </c:ext>
          </c:extLst>
        </c:ser>
        <c:dLbls>
          <c:showLegendKey val="0"/>
          <c:showVal val="0"/>
          <c:showCatName val="0"/>
          <c:showSerName val="0"/>
          <c:showPercent val="0"/>
          <c:showBubbleSize val="0"/>
        </c:dLbls>
        <c:gapWidth val="12"/>
        <c:overlap val="100"/>
        <c:axId val="227263448"/>
        <c:axId val="227261488"/>
      </c:barChart>
      <c:dateAx>
        <c:axId val="227263448"/>
        <c:scaling>
          <c:orientation val="minMax"/>
        </c:scaling>
        <c:delete val="0"/>
        <c:axPos val="b"/>
        <c:numFmt formatCode="[$-409]mmm\-yy;@" sourceLinked="0"/>
        <c:majorTickMark val="out"/>
        <c:minorTickMark val="none"/>
        <c:tickLblPos val="nextTo"/>
        <c:txPr>
          <a:bodyPr/>
          <a:lstStyle/>
          <a:p>
            <a:pPr>
              <a:defRPr sz="1100" b="1">
                <a:solidFill>
                  <a:schemeClr val="tx2"/>
                </a:solidFill>
                <a:latin typeface="Arial" panose="020B0604020202020204" pitchFamily="34" charset="0"/>
                <a:cs typeface="Arial" panose="020B0604020202020204" pitchFamily="34" charset="0"/>
              </a:defRPr>
            </a:pPr>
            <a:endParaRPr lang="en-US"/>
          </a:p>
        </c:txPr>
        <c:crossAx val="227261488"/>
        <c:crossesAt val="0"/>
        <c:auto val="1"/>
        <c:lblOffset val="100"/>
        <c:baseTimeUnit val="months"/>
      </c:dateAx>
      <c:valAx>
        <c:axId val="227261488"/>
        <c:scaling>
          <c:orientation val="minMax"/>
          <c:max val="46000"/>
          <c:min val="38000"/>
        </c:scaling>
        <c:delete val="0"/>
        <c:axPos val="l"/>
        <c:majorGridlines>
          <c:spPr>
            <a:ln w="3175">
              <a:prstDash val="sysDot"/>
            </a:ln>
          </c:spPr>
        </c:majorGridlines>
        <c:minorGridlines>
          <c:spPr>
            <a:ln>
              <a:noFill/>
            </a:ln>
          </c:spPr>
        </c:minorGridlines>
        <c:numFmt formatCode="###,##0\ &quot; MW&quot;" sourceLinked="0"/>
        <c:majorTickMark val="out"/>
        <c:minorTickMark val="none"/>
        <c:tickLblPos val="nextTo"/>
        <c:txPr>
          <a:bodyPr/>
          <a:lstStyle/>
          <a:p>
            <a:pPr>
              <a:defRPr sz="1200" b="1">
                <a:solidFill>
                  <a:schemeClr val="tx2"/>
                </a:solidFill>
                <a:latin typeface="Arial" panose="020B0604020202020204" pitchFamily="34" charset="0"/>
                <a:cs typeface="Arial" panose="020B0604020202020204" pitchFamily="34" charset="0"/>
              </a:defRPr>
            </a:pPr>
            <a:endParaRPr lang="en-US"/>
          </a:p>
        </c:txPr>
        <c:crossAx val="227263448"/>
        <c:crosses val="autoZero"/>
        <c:crossBetween val="between"/>
        <c:majorUnit val="1000"/>
      </c:valAx>
      <c:spPr>
        <a:noFill/>
        <a:ln>
          <a:noFill/>
        </a:ln>
        <a:effectLst/>
        <a:scene3d>
          <a:camera prst="orthographicFront"/>
          <a:lightRig rig="threePt" dir="t"/>
        </a:scene3d>
        <a:sp3d prstMaterial="matte"/>
      </c:spPr>
    </c:plotArea>
    <c:legend>
      <c:legendPos val="t"/>
      <c:legendEntry>
        <c:idx val="3"/>
        <c:delete val="1"/>
      </c:legendEntry>
      <c:legendEntry>
        <c:idx val="4"/>
        <c:delete val="1"/>
      </c:legendEntry>
      <c:layout>
        <c:manualLayout>
          <c:xMode val="edge"/>
          <c:yMode val="edge"/>
          <c:x val="0.19641198506719112"/>
          <c:y val="3.947787724736615E-2"/>
          <c:w val="0.80358801493280885"/>
          <c:h val="2.4547478439584009E-2"/>
        </c:manualLayout>
      </c:layout>
      <c:overlay val="0"/>
      <c:txPr>
        <a:bodyPr/>
        <a:lstStyle/>
        <a:p>
          <a:pPr>
            <a:defRPr sz="1200">
              <a:solidFill>
                <a:schemeClr val="bg2">
                  <a:lumMod val="50000"/>
                </a:schemeClr>
              </a:solidFill>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000000000000033" l="0.70000000000000029" r="0.70000000000000029" t="0.75000000000000033" header="0.30000000000000016" footer="0.30000000000000016"/>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986328517942524E-2"/>
          <c:y val="6.8288666438340029E-2"/>
          <c:w val="0.91736610691845799"/>
          <c:h val="0.59500417853741472"/>
        </c:manualLayout>
      </c:layout>
      <c:barChart>
        <c:barDir val="col"/>
        <c:grouping val="stacked"/>
        <c:varyColors val="0"/>
        <c:ser>
          <c:idx val="0"/>
          <c:order val="0"/>
          <c:tx>
            <c:strRef>
              <c:f>'Gas-Other Chart'!$C$53</c:f>
              <c:strCache>
                <c:ptCount val="1"/>
                <c:pt idx="0">
                  <c:v>Cumulative MW Operational </c:v>
                </c:pt>
              </c:strCache>
            </c:strRef>
          </c:tx>
          <c:spPr>
            <a:solidFill>
              <a:srgbClr val="00AEC7"/>
            </a:solidFill>
          </c:spPr>
          <c:invertIfNegative val="0"/>
          <c:dLbls>
            <c:spPr>
              <a:noFill/>
              <a:ln>
                <a:noFill/>
              </a:ln>
              <a:effectLst/>
            </c:spPr>
            <c:txPr>
              <a:bodyPr wrap="square" lIns="38100" tIns="19050" rIns="38100" bIns="19050" anchor="ctr">
                <a:spAutoFit/>
              </a:bodyPr>
              <a:lstStyle/>
              <a:p>
                <a:pPr>
                  <a:defRPr>
                    <a:solidFill>
                      <a:schemeClr val="bg1"/>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'Gas-Other Chart'!$A$54:$A$71</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'Gas-Other Chart'!$C$54:$C$71</c:f>
              <c:numCache>
                <c:formatCode>#,##0</c:formatCode>
                <c:ptCount val="18"/>
                <c:pt idx="0">
                  <c:v>25333.960000000079</c:v>
                </c:pt>
                <c:pt idx="1">
                  <c:v>25333.960000000079</c:v>
                </c:pt>
                <c:pt idx="2">
                  <c:v>25333.960000000079</c:v>
                </c:pt>
                <c:pt idx="3">
                  <c:v>25333.960000000079</c:v>
                </c:pt>
                <c:pt idx="4">
                  <c:v>25333.960000000079</c:v>
                </c:pt>
                <c:pt idx="5">
                  <c:v>25333.960000000079</c:v>
                </c:pt>
                <c:pt idx="6">
                  <c:v>25333.960000000079</c:v>
                </c:pt>
                <c:pt idx="7">
                  <c:v>25333.960000000079</c:v>
                </c:pt>
                <c:pt idx="8">
                  <c:v>25333.960000000079</c:v>
                </c:pt>
                <c:pt idx="9">
                  <c:v>25333.960000000079</c:v>
                </c:pt>
                <c:pt idx="10">
                  <c:v>25333.960000000079</c:v>
                </c:pt>
                <c:pt idx="11">
                  <c:v>25333.960000000079</c:v>
                </c:pt>
                <c:pt idx="12">
                  <c:v>25333.960000000079</c:v>
                </c:pt>
                <c:pt idx="13">
                  <c:v>25333.960000000079</c:v>
                </c:pt>
                <c:pt idx="14">
                  <c:v>25333.960000000079</c:v>
                </c:pt>
                <c:pt idx="15">
                  <c:v>25333.960000000079</c:v>
                </c:pt>
                <c:pt idx="16">
                  <c:v>25333.960000000079</c:v>
                </c:pt>
                <c:pt idx="17">
                  <c:v>25333.960000000079</c:v>
                </c:pt>
              </c:numCache>
            </c:numRef>
          </c:val>
          <c:extLst>
            <c:ext xmlns:c16="http://schemas.microsoft.com/office/drawing/2014/chart" uri="{C3380CC4-5D6E-409C-BE32-E72D297353CC}">
              <c16:uniqueId val="{00000002-8FB1-4F36-A927-9EB3C7E8A449}"/>
            </c:ext>
          </c:extLst>
        </c:ser>
        <c:ser>
          <c:idx val="3"/>
          <c:order val="1"/>
          <c:tx>
            <c:v>IA Signed-Financial Security Posted </c:v>
          </c:tx>
          <c:spPr>
            <a:solidFill>
              <a:srgbClr val="890C58"/>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C-1363-4DD6-8A6C-4486E02F97CB}"/>
                </c:ext>
              </c:extLst>
            </c:dLbl>
            <c:dLbl>
              <c:idx val="1"/>
              <c:delete val="1"/>
              <c:extLst>
                <c:ext xmlns:c15="http://schemas.microsoft.com/office/drawing/2012/chart" uri="{CE6537A1-D6FC-4f65-9D91-7224C49458BB}"/>
                <c:ext xmlns:c16="http://schemas.microsoft.com/office/drawing/2014/chart" uri="{C3380CC4-5D6E-409C-BE32-E72D297353CC}">
                  <c16:uniqueId val="{0000000B-1363-4DD6-8A6C-4486E02F97CB}"/>
                </c:ext>
              </c:extLst>
            </c:dLbl>
            <c:dLbl>
              <c:idx val="2"/>
              <c:delete val="1"/>
              <c:extLst>
                <c:ext xmlns:c15="http://schemas.microsoft.com/office/drawing/2012/chart" uri="{CE6537A1-D6FC-4f65-9D91-7224C49458BB}"/>
                <c:ext xmlns:c16="http://schemas.microsoft.com/office/drawing/2014/chart" uri="{C3380CC4-5D6E-409C-BE32-E72D297353CC}">
                  <c16:uniqueId val="{0000000A-1363-4DD6-8A6C-4486E02F97CB}"/>
                </c:ext>
              </c:extLst>
            </c:dLbl>
            <c:dLbl>
              <c:idx val="3"/>
              <c:delete val="1"/>
              <c:extLst>
                <c:ext xmlns:c15="http://schemas.microsoft.com/office/drawing/2012/chart" uri="{CE6537A1-D6FC-4f65-9D91-7224C49458BB}"/>
                <c:ext xmlns:c16="http://schemas.microsoft.com/office/drawing/2014/chart" uri="{C3380CC4-5D6E-409C-BE32-E72D297353CC}">
                  <c16:uniqueId val="{00000009-1363-4DD6-8A6C-4486E02F97CB}"/>
                </c:ext>
              </c:extLst>
            </c:dLbl>
            <c:dLbl>
              <c:idx val="4"/>
              <c:delete val="1"/>
              <c:extLst>
                <c:ext xmlns:c15="http://schemas.microsoft.com/office/drawing/2012/chart" uri="{CE6537A1-D6FC-4f65-9D91-7224C49458BB}"/>
                <c:ext xmlns:c16="http://schemas.microsoft.com/office/drawing/2014/chart" uri="{C3380CC4-5D6E-409C-BE32-E72D297353CC}">
                  <c16:uniqueId val="{00000008-1363-4DD6-8A6C-4486E02F97C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'Gas-Other Chart'!$A$54:$A$71</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'Gas-Other Chart'!$D$54:$D$71</c:f>
              <c:numCache>
                <c:formatCode>#,##0</c:formatCode>
                <c:ptCount val="18"/>
                <c:pt idx="0">
                  <c:v>0</c:v>
                </c:pt>
                <c:pt idx="1">
                  <c:v>0</c:v>
                </c:pt>
                <c:pt idx="2">
                  <c:v>0</c:v>
                </c:pt>
                <c:pt idx="3">
                  <c:v>0</c:v>
                </c:pt>
                <c:pt idx="4">
                  <c:v>0</c:v>
                </c:pt>
                <c:pt idx="5">
                  <c:v>253.36</c:v>
                </c:pt>
                <c:pt idx="6">
                  <c:v>253.36</c:v>
                </c:pt>
                <c:pt idx="7">
                  <c:v>253.36</c:v>
                </c:pt>
                <c:pt idx="8">
                  <c:v>253.36</c:v>
                </c:pt>
                <c:pt idx="9">
                  <c:v>253.36</c:v>
                </c:pt>
                <c:pt idx="10">
                  <c:v>253.36</c:v>
                </c:pt>
                <c:pt idx="11">
                  <c:v>253.36</c:v>
                </c:pt>
                <c:pt idx="12">
                  <c:v>253.36</c:v>
                </c:pt>
                <c:pt idx="13">
                  <c:v>253.36</c:v>
                </c:pt>
                <c:pt idx="14">
                  <c:v>253.36</c:v>
                </c:pt>
                <c:pt idx="15">
                  <c:v>253.36</c:v>
                </c:pt>
                <c:pt idx="16">
                  <c:v>253.36</c:v>
                </c:pt>
                <c:pt idx="17">
                  <c:v>823.36</c:v>
                </c:pt>
              </c:numCache>
            </c:numRef>
          </c:val>
          <c:extLst>
            <c:ext xmlns:c16="http://schemas.microsoft.com/office/drawing/2014/chart" uri="{C3380CC4-5D6E-409C-BE32-E72D297353CC}">
              <c16:uniqueId val="{00000009-8FB1-4F36-A927-9EB3C7E8A449}"/>
            </c:ext>
          </c:extLst>
        </c:ser>
        <c:ser>
          <c:idx val="1"/>
          <c:order val="2"/>
          <c:tx>
            <c:v>IA Signed-No Financial Security </c:v>
          </c:tx>
          <c:spPr>
            <a:solidFill>
              <a:srgbClr val="26D07C"/>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8019-4639-8692-AB3414760E01}"/>
                </c:ext>
              </c:extLst>
            </c:dLbl>
            <c:dLbl>
              <c:idx val="1"/>
              <c:delete val="1"/>
              <c:extLst>
                <c:ext xmlns:c15="http://schemas.microsoft.com/office/drawing/2012/chart" uri="{CE6537A1-D6FC-4f65-9D91-7224C49458BB}"/>
                <c:ext xmlns:c16="http://schemas.microsoft.com/office/drawing/2014/chart" uri="{C3380CC4-5D6E-409C-BE32-E72D297353CC}">
                  <c16:uniqueId val="{0000000A-8019-4639-8692-AB3414760E01}"/>
                </c:ext>
              </c:extLst>
            </c:dLbl>
            <c:dLbl>
              <c:idx val="2"/>
              <c:delete val="1"/>
              <c:extLst>
                <c:ext xmlns:c15="http://schemas.microsoft.com/office/drawing/2012/chart" uri="{CE6537A1-D6FC-4f65-9D91-7224C49458BB}"/>
                <c:ext xmlns:c16="http://schemas.microsoft.com/office/drawing/2014/chart" uri="{C3380CC4-5D6E-409C-BE32-E72D297353CC}">
                  <c16:uniqueId val="{00000009-8019-4639-8692-AB3414760E01}"/>
                </c:ext>
              </c:extLst>
            </c:dLbl>
            <c:dLbl>
              <c:idx val="3"/>
              <c:delete val="1"/>
              <c:extLst>
                <c:ext xmlns:c15="http://schemas.microsoft.com/office/drawing/2012/chart" uri="{CE6537A1-D6FC-4f65-9D91-7224C49458BB}"/>
                <c:ext xmlns:c16="http://schemas.microsoft.com/office/drawing/2014/chart" uri="{C3380CC4-5D6E-409C-BE32-E72D297353CC}">
                  <c16:uniqueId val="{00000008-8019-4639-8692-AB3414760E01}"/>
                </c:ext>
              </c:extLst>
            </c:dLbl>
            <c:dLbl>
              <c:idx val="4"/>
              <c:delete val="1"/>
              <c:extLst>
                <c:ext xmlns:c15="http://schemas.microsoft.com/office/drawing/2012/chart" uri="{CE6537A1-D6FC-4f65-9D91-7224C49458BB}"/>
                <c:ext xmlns:c16="http://schemas.microsoft.com/office/drawing/2014/chart" uri="{C3380CC4-5D6E-409C-BE32-E72D297353CC}">
                  <c16:uniqueId val="{00000007-8019-4639-8692-AB3414760E01}"/>
                </c:ext>
              </c:extLst>
            </c:dLbl>
            <c:dLbl>
              <c:idx val="5"/>
              <c:delete val="1"/>
              <c:extLst>
                <c:ext xmlns:c15="http://schemas.microsoft.com/office/drawing/2012/chart" uri="{CE6537A1-D6FC-4f65-9D91-7224C49458BB}"/>
                <c:ext xmlns:c16="http://schemas.microsoft.com/office/drawing/2014/chart" uri="{C3380CC4-5D6E-409C-BE32-E72D297353CC}">
                  <c16:uniqueId val="{00000006-8019-4639-8692-AB3414760E01}"/>
                </c:ext>
              </c:extLst>
            </c:dLbl>
            <c:dLbl>
              <c:idx val="6"/>
              <c:delete val="1"/>
              <c:extLst>
                <c:ext xmlns:c15="http://schemas.microsoft.com/office/drawing/2012/chart" uri="{CE6537A1-D6FC-4f65-9D91-7224C49458BB}"/>
                <c:ext xmlns:c16="http://schemas.microsoft.com/office/drawing/2014/chart" uri="{C3380CC4-5D6E-409C-BE32-E72D297353CC}">
                  <c16:uniqueId val="{00000005-8019-4639-8692-AB3414760E01}"/>
                </c:ext>
              </c:extLst>
            </c:dLbl>
            <c:dLbl>
              <c:idx val="7"/>
              <c:delete val="1"/>
              <c:extLst>
                <c:ext xmlns:c15="http://schemas.microsoft.com/office/drawing/2012/chart" uri="{CE6537A1-D6FC-4f65-9D91-7224C49458BB}"/>
                <c:ext xmlns:c16="http://schemas.microsoft.com/office/drawing/2014/chart" uri="{C3380CC4-5D6E-409C-BE32-E72D297353CC}">
                  <c16:uniqueId val="{00000007-1363-4DD6-8A6C-4486E02F97CB}"/>
                </c:ext>
              </c:extLst>
            </c:dLbl>
            <c:dLbl>
              <c:idx val="8"/>
              <c:delete val="1"/>
              <c:extLst>
                <c:ext xmlns:c15="http://schemas.microsoft.com/office/drawing/2012/chart" uri="{CE6537A1-D6FC-4f65-9D91-7224C49458BB}"/>
                <c:ext xmlns:c16="http://schemas.microsoft.com/office/drawing/2014/chart" uri="{C3380CC4-5D6E-409C-BE32-E72D297353CC}">
                  <c16:uniqueId val="{00000006-1363-4DD6-8A6C-4486E02F97CB}"/>
                </c:ext>
              </c:extLst>
            </c:dLbl>
            <c:dLbl>
              <c:idx val="9"/>
              <c:delete val="1"/>
              <c:extLst>
                <c:ext xmlns:c15="http://schemas.microsoft.com/office/drawing/2012/chart" uri="{CE6537A1-D6FC-4f65-9D91-7224C49458BB}"/>
                <c:ext xmlns:c16="http://schemas.microsoft.com/office/drawing/2014/chart" uri="{C3380CC4-5D6E-409C-BE32-E72D297353CC}">
                  <c16:uniqueId val="{00000005-1363-4DD6-8A6C-4486E02F97CB}"/>
                </c:ext>
              </c:extLst>
            </c:dLbl>
            <c:dLbl>
              <c:idx val="10"/>
              <c:delete val="1"/>
              <c:extLst>
                <c:ext xmlns:c15="http://schemas.microsoft.com/office/drawing/2012/chart" uri="{CE6537A1-D6FC-4f65-9D91-7224C49458BB}"/>
                <c:ext xmlns:c16="http://schemas.microsoft.com/office/drawing/2014/chart" uri="{C3380CC4-5D6E-409C-BE32-E72D297353CC}">
                  <c16:uniqueId val="{00000004-1363-4DD6-8A6C-4486E02F97CB}"/>
                </c:ext>
              </c:extLst>
            </c:dLbl>
            <c:dLbl>
              <c:idx val="11"/>
              <c:delete val="1"/>
              <c:extLst>
                <c:ext xmlns:c15="http://schemas.microsoft.com/office/drawing/2012/chart" uri="{CE6537A1-D6FC-4f65-9D91-7224C49458BB}"/>
                <c:ext xmlns:c16="http://schemas.microsoft.com/office/drawing/2014/chart" uri="{C3380CC4-5D6E-409C-BE32-E72D297353CC}">
                  <c16:uniqueId val="{00000003-1363-4DD6-8A6C-4486E02F97CB}"/>
                </c:ext>
              </c:extLst>
            </c:dLbl>
            <c:dLbl>
              <c:idx val="12"/>
              <c:delete val="1"/>
              <c:extLst>
                <c:ext xmlns:c15="http://schemas.microsoft.com/office/drawing/2012/chart" uri="{CE6537A1-D6FC-4f65-9D91-7224C49458BB}"/>
                <c:ext xmlns:c16="http://schemas.microsoft.com/office/drawing/2014/chart" uri="{C3380CC4-5D6E-409C-BE32-E72D297353CC}">
                  <c16:uniqueId val="{00000002-1363-4DD6-8A6C-4486E02F97CB}"/>
                </c:ext>
              </c:extLst>
            </c:dLbl>
            <c:dLbl>
              <c:idx val="13"/>
              <c:delete val="1"/>
              <c:extLst>
                <c:ext xmlns:c15="http://schemas.microsoft.com/office/drawing/2012/chart" uri="{CE6537A1-D6FC-4f65-9D91-7224C49458BB}"/>
                <c:ext xmlns:c16="http://schemas.microsoft.com/office/drawing/2014/chart" uri="{C3380CC4-5D6E-409C-BE32-E72D297353CC}">
                  <c16:uniqueId val="{00000001-1363-4DD6-8A6C-4486E02F97CB}"/>
                </c:ext>
              </c:extLst>
            </c:dLbl>
            <c:dLbl>
              <c:idx val="14"/>
              <c:delete val="1"/>
              <c:extLst>
                <c:ext xmlns:c15="http://schemas.microsoft.com/office/drawing/2012/chart" uri="{CE6537A1-D6FC-4f65-9D91-7224C49458BB}"/>
                <c:ext xmlns:c16="http://schemas.microsoft.com/office/drawing/2014/chart" uri="{C3380CC4-5D6E-409C-BE32-E72D297353CC}">
                  <c16:uniqueId val="{00000000-1363-4DD6-8A6C-4486E02F97C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'Gas-Other Chart'!$A$54:$A$71</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'Gas-Other Chart'!$E$54:$E$71</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1104</c:v>
                </c:pt>
                <c:pt idx="16">
                  <c:v>3040</c:v>
                </c:pt>
                <c:pt idx="17">
                  <c:v>3040</c:v>
                </c:pt>
              </c:numCache>
            </c:numRef>
          </c:val>
          <c:extLst>
            <c:ext xmlns:c16="http://schemas.microsoft.com/office/drawing/2014/chart" uri="{C3380CC4-5D6E-409C-BE32-E72D297353CC}">
              <c16:uniqueId val="{0000000C-8FB1-4F36-A927-9EB3C7E8A449}"/>
            </c:ext>
          </c:extLst>
        </c:ser>
        <c:ser>
          <c:idx val="4"/>
          <c:order val="3"/>
          <c:tx>
            <c:v>Other Planned</c:v>
          </c:tx>
          <c:spPr>
            <a:solidFill>
              <a:srgbClr val="685BC7"/>
            </a:solidFill>
          </c:spPr>
          <c:invertIfNegative val="0"/>
          <c:dLbls>
            <c:dLbl>
              <c:idx val="0"/>
              <c:layout>
                <c:manualLayout>
                  <c:x val="-1.6891307759627397E-2"/>
                  <c:y val="-4.0296146482684786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C43-4261-B635-FD2C43CFC39F}"/>
                </c:ext>
              </c:extLst>
            </c:dLbl>
            <c:dLbl>
              <c:idx val="1"/>
              <c:layout>
                <c:manualLayout>
                  <c:x val="-2.4840158470040282E-2"/>
                  <c:y val="-3.8996270789694955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C43-4261-B635-FD2C43CFC39F}"/>
                </c:ext>
              </c:extLst>
            </c:dLbl>
            <c:dLbl>
              <c:idx val="2"/>
              <c:layout>
                <c:manualLayout>
                  <c:x val="-2.6827371147643487E-2"/>
                  <c:y val="-3.8996270789694955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C43-4261-B635-FD2C43CFC39F}"/>
                </c:ext>
              </c:extLst>
            </c:dLbl>
            <c:dLbl>
              <c:idx val="3"/>
              <c:layout>
                <c:manualLayout>
                  <c:x val="-2.6827371147643522E-2"/>
                  <c:y val="-2.2097886780827115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C43-4261-B635-FD2C43CFC39F}"/>
                </c:ext>
              </c:extLst>
            </c:dLbl>
            <c:dLbl>
              <c:idx val="4"/>
              <c:layout>
                <c:manualLayout>
                  <c:x val="-2.3846552131238655E-2"/>
                  <c:y val="-2.339776247381695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C43-4261-B635-FD2C43CFC39F}"/>
                </c:ext>
              </c:extLst>
            </c:dLbl>
            <c:dLbl>
              <c:idx val="5"/>
              <c:layout>
                <c:manualLayout>
                  <c:x val="-2.682737114764356E-2"/>
                  <c:y val="-2.5997513859796661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C43-4261-B635-FD2C43CFC39F}"/>
                </c:ext>
              </c:extLst>
            </c:dLbl>
            <c:dLbl>
              <c:idx val="6"/>
              <c:layout>
                <c:manualLayout>
                  <c:x val="-2.6827371147643487E-2"/>
                  <c:y val="-2.7297389552786468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C43-4261-B635-FD2C43CFC39F}"/>
                </c:ext>
              </c:extLst>
            </c:dLbl>
            <c:dLbl>
              <c:idx val="7"/>
              <c:layout>
                <c:manualLayout>
                  <c:x val="-2.682737114764356E-2"/>
                  <c:y val="-2.4697638166806781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C43-4261-B635-FD2C43CFC39F}"/>
                </c:ext>
              </c:extLst>
            </c:dLbl>
            <c:dLbl>
              <c:idx val="8"/>
              <c:layout>
                <c:manualLayout>
                  <c:x val="-2.3846552131238728E-2"/>
                  <c:y val="-2.339776247381695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43-4261-B635-FD2C43CFC39F}"/>
                </c:ext>
              </c:extLst>
            </c:dLbl>
            <c:dLbl>
              <c:idx val="9"/>
              <c:layout>
                <c:manualLayout>
                  <c:x val="-1.9872126776032138E-2"/>
                  <c:y val="-3.6396519403715293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43-4261-B635-FD2C43CFC39F}"/>
                </c:ext>
              </c:extLst>
            </c:dLbl>
            <c:dLbl>
              <c:idx val="10"/>
              <c:layout>
                <c:manualLayout>
                  <c:x val="-2.0865733114833897E-2"/>
                  <c:y val="-3.3796768017735623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C4-46F8-9388-85F2E9AD0A8F}"/>
                </c:ext>
              </c:extLst>
            </c:dLbl>
            <c:dLbl>
              <c:idx val="11"/>
              <c:layout>
                <c:manualLayout>
                  <c:x val="-2.0865733114833824E-2"/>
                  <c:y val="-3.5096643710725461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C4-46F8-9388-85F2E9AD0A8F}"/>
                </c:ext>
              </c:extLst>
            </c:dLbl>
            <c:dLbl>
              <c:idx val="12"/>
              <c:layout>
                <c:manualLayout>
                  <c:x val="-2.9808190164048318E-2"/>
                  <c:y val="-2.5997513859796661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C4-46F8-9388-85F2E9AD0A8F}"/>
                </c:ext>
              </c:extLst>
            </c:dLbl>
            <c:dLbl>
              <c:idx val="13"/>
              <c:layout>
                <c:manualLayout>
                  <c:x val="-2.6827371147643487E-2"/>
                  <c:y val="-3.8996270789694976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43-4261-B635-FD2C43CFC39F}"/>
                </c:ext>
              </c:extLst>
            </c:dLbl>
            <c:dLbl>
              <c:idx val="14"/>
              <c:layout>
                <c:manualLayout>
                  <c:x val="-2.1859339453635579E-2"/>
                  <c:y val="-3.7696395096705144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43-4261-B635-FD2C43CFC39F}"/>
                </c:ext>
              </c:extLst>
            </c:dLbl>
            <c:dLbl>
              <c:idx val="15"/>
              <c:layout>
                <c:manualLayout>
                  <c:x val="-2.2852945792437043E-2"/>
                  <c:y val="-3.6396519403715313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43-4261-B635-FD2C43CFC39F}"/>
                </c:ext>
              </c:extLst>
            </c:dLbl>
            <c:dLbl>
              <c:idx val="16"/>
              <c:layout>
                <c:manualLayout>
                  <c:x val="-2.3846552131238655E-2"/>
                  <c:y val="-3.249689232474582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43-4261-B635-FD2C43CFC39F}"/>
                </c:ext>
              </c:extLst>
            </c:dLbl>
            <c:dLbl>
              <c:idx val="17"/>
              <c:layout>
                <c:manualLayout>
                  <c:x val="-2.2852945792437043E-2"/>
                  <c:y val="-3.3796768017735623E-2"/>
                </c:manualLayout>
              </c:layout>
              <c:spPr>
                <a:noFill/>
                <a:ln>
                  <a:noFill/>
                </a:ln>
                <a:effectLst/>
              </c:spPr>
              <c:txPr>
                <a:bodyPr wrap="square" lIns="38100" tIns="19050" rIns="38100" bIns="19050" anchor="ctr">
                  <a:spAutoFit/>
                </a:bodyPr>
                <a:lstStyle/>
                <a:p>
                  <a:pPr>
                    <a:defRPr>
                      <a:solidFill>
                        <a:srgbClr val="685BC7"/>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43-4261-B635-FD2C43CFC39F}"/>
                </c:ext>
              </c:extLst>
            </c:dLbl>
            <c:spPr>
              <a:noFill/>
              <a:ln>
                <a:noFill/>
              </a:ln>
              <a:effectLst/>
            </c:spPr>
            <c:txPr>
              <a:bodyPr wrap="square" lIns="38100" tIns="19050" rIns="38100" bIns="19050" anchor="ctr">
                <a:spAutoFit/>
              </a:bodyPr>
              <a:lstStyle/>
              <a:p>
                <a:pPr>
                  <a:defRPr>
                    <a:solidFill>
                      <a:schemeClr val="bg1"/>
                    </a:solidFill>
                    <a:latin typeface="Arial" panose="020B0604020202020204" pitchFamily="34"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'Gas-Other Chart'!$A$54:$A$71</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'Gas-Other Chart'!$F$54:$F$71</c:f>
              <c:numCache>
                <c:formatCode>#,##0</c:formatCode>
                <c:ptCount val="18"/>
                <c:pt idx="0">
                  <c:v>49.59</c:v>
                </c:pt>
                <c:pt idx="1">
                  <c:v>49.59</c:v>
                </c:pt>
                <c:pt idx="2">
                  <c:v>49.59</c:v>
                </c:pt>
                <c:pt idx="3">
                  <c:v>57.390000000000008</c:v>
                </c:pt>
                <c:pt idx="4">
                  <c:v>57.390000000000008</c:v>
                </c:pt>
                <c:pt idx="5">
                  <c:v>57.390000000000008</c:v>
                </c:pt>
                <c:pt idx="6">
                  <c:v>67.38000000000001</c:v>
                </c:pt>
                <c:pt idx="7">
                  <c:v>67.38000000000001</c:v>
                </c:pt>
                <c:pt idx="8">
                  <c:v>67.38000000000001</c:v>
                </c:pt>
                <c:pt idx="9">
                  <c:v>67.38000000000001</c:v>
                </c:pt>
                <c:pt idx="10">
                  <c:v>77.37</c:v>
                </c:pt>
                <c:pt idx="11">
                  <c:v>77.37</c:v>
                </c:pt>
                <c:pt idx="12">
                  <c:v>87.36</c:v>
                </c:pt>
                <c:pt idx="13">
                  <c:v>87.36</c:v>
                </c:pt>
                <c:pt idx="14">
                  <c:v>87.36</c:v>
                </c:pt>
                <c:pt idx="15">
                  <c:v>87.36</c:v>
                </c:pt>
                <c:pt idx="16">
                  <c:v>87.36</c:v>
                </c:pt>
                <c:pt idx="17">
                  <c:v>87.36</c:v>
                </c:pt>
              </c:numCache>
            </c:numRef>
          </c:val>
          <c:extLst>
            <c:ext xmlns:c16="http://schemas.microsoft.com/office/drawing/2014/chart" uri="{C3380CC4-5D6E-409C-BE32-E72D297353CC}">
              <c16:uniqueId val="{0000000D-8FB1-4F36-A927-9EB3C7E8A449}"/>
            </c:ext>
          </c:extLst>
        </c:ser>
        <c:ser>
          <c:idx val="2"/>
          <c:order val="4"/>
          <c:tx>
            <c:v>Cumulative Installed and Planned</c:v>
          </c:tx>
          <c:spPr>
            <a:noFill/>
          </c:spPr>
          <c:invertIfNegative val="0"/>
          <c:dLbls>
            <c:dLbl>
              <c:idx val="0"/>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E-8FB1-4F36-A927-9EB3C7E8A449}"/>
                </c:ext>
              </c:extLst>
            </c:dLbl>
            <c:dLbl>
              <c:idx val="1"/>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F-8FB1-4F36-A927-9EB3C7E8A449}"/>
                </c:ext>
              </c:extLst>
            </c:dLbl>
            <c:dLbl>
              <c:idx val="2"/>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0-8FB1-4F36-A927-9EB3C7E8A449}"/>
                </c:ext>
              </c:extLst>
            </c:dLbl>
            <c:dLbl>
              <c:idx val="3"/>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1-8FB1-4F36-A927-9EB3C7E8A449}"/>
                </c:ext>
              </c:extLst>
            </c:dLbl>
            <c:dLbl>
              <c:idx val="4"/>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2-8FB1-4F36-A927-9EB3C7E8A449}"/>
                </c:ext>
              </c:extLst>
            </c:dLbl>
            <c:dLbl>
              <c:idx val="5"/>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3-8FB1-4F36-A927-9EB3C7E8A449}"/>
                </c:ext>
              </c:extLst>
            </c:dLbl>
            <c:dLbl>
              <c:idx val="6"/>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4-8FB1-4F36-A927-9EB3C7E8A449}"/>
                </c:ext>
              </c:extLst>
            </c:dLbl>
            <c:dLbl>
              <c:idx val="7"/>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5-8FB1-4F36-A927-9EB3C7E8A449}"/>
                </c:ext>
              </c:extLst>
            </c:dLbl>
            <c:dLbl>
              <c:idx val="8"/>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6-8FB1-4F36-A927-9EB3C7E8A449}"/>
                </c:ext>
              </c:extLst>
            </c:dLbl>
            <c:dLbl>
              <c:idx val="9"/>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7-8FB1-4F36-A927-9EB3C7E8A449}"/>
                </c:ext>
              </c:extLst>
            </c:dLbl>
            <c:dLbl>
              <c:idx val="10"/>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8-8FB1-4F36-A927-9EB3C7E8A449}"/>
                </c:ext>
              </c:extLst>
            </c:dLbl>
            <c:dLbl>
              <c:idx val="11"/>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9-8FB1-4F36-A927-9EB3C7E8A449}"/>
                </c:ext>
              </c:extLst>
            </c:dLbl>
            <c:dLbl>
              <c:idx val="12"/>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A-8FB1-4F36-A927-9EB3C7E8A449}"/>
                </c:ext>
              </c:extLst>
            </c:dLbl>
            <c:dLbl>
              <c:idx val="13"/>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B-8FB1-4F36-A927-9EB3C7E8A449}"/>
                </c:ext>
              </c:extLst>
            </c:dLbl>
            <c:dLbl>
              <c:idx val="14"/>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C-8FB1-4F36-A927-9EB3C7E8A449}"/>
                </c:ext>
              </c:extLst>
            </c:dLbl>
            <c:dLbl>
              <c:idx val="15"/>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D-8FB1-4F36-A927-9EB3C7E8A449}"/>
                </c:ext>
              </c:extLst>
            </c:dLbl>
            <c:dLbl>
              <c:idx val="16"/>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E-8FB1-4F36-A927-9EB3C7E8A449}"/>
                </c:ext>
              </c:extLst>
            </c:dLbl>
            <c:dLbl>
              <c:idx val="17"/>
              <c:spPr>
                <a:noFill/>
                <a:ln>
                  <a:noFill/>
                </a:ln>
                <a:effectLst/>
              </c:spPr>
              <c:txPr>
                <a:bodyPr wrap="square" lIns="38100" tIns="19050" rIns="38100" bIns="19050" anchor="ctr" anchorCtr="0">
                  <a:spAutoFit/>
                </a:bodyPr>
                <a:lstStyle/>
                <a:p>
                  <a:pPr algn="ctr" rtl="0">
                    <a:defRPr lang="en-US" sz="1000" b="1" i="0" u="none" strike="noStrike" kern="1200" baseline="0">
                      <a:solidFill>
                        <a:srgbClr val="5B6770"/>
                      </a:solidFill>
                      <a:latin typeface="Arial"/>
                      <a:ea typeface="Arial"/>
                      <a:cs typeface="Arial"/>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1F-8FB1-4F36-A927-9EB3C7E8A449}"/>
                </c:ext>
              </c:extLst>
            </c:dLbl>
            <c:spPr>
              <a:noFill/>
              <a:ln>
                <a:noFill/>
              </a:ln>
              <a:effectLst/>
            </c:spPr>
            <c:txPr>
              <a:bodyPr wrap="square" lIns="38100" tIns="19050" rIns="38100" bIns="19050" anchor="ctr" anchorCtr="0">
                <a:spAutoFit/>
              </a:bodyPr>
              <a:lstStyle/>
              <a:p>
                <a:pPr algn="ctr" rtl="0">
                  <a:defRPr lang="en-US" sz="900" b="1" i="0" u="none" strike="noStrike" kern="1200" baseline="0">
                    <a:solidFill>
                      <a:srgbClr val="5B677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'Gas-Other Chart'!$A$54:$A$71</c:f>
              <c:numCache>
                <c:formatCode>mmm\-yy</c:formatCode>
                <c:ptCount val="18"/>
                <c:pt idx="0">
                  <c:v>46285</c:v>
                </c:pt>
                <c:pt idx="1">
                  <c:v>46315</c:v>
                </c:pt>
                <c:pt idx="2">
                  <c:v>46346</c:v>
                </c:pt>
                <c:pt idx="3">
                  <c:v>46376</c:v>
                </c:pt>
                <c:pt idx="4">
                  <c:v>46407</c:v>
                </c:pt>
                <c:pt idx="5">
                  <c:v>46438</c:v>
                </c:pt>
                <c:pt idx="6">
                  <c:v>46466</c:v>
                </c:pt>
                <c:pt idx="7">
                  <c:v>46497</c:v>
                </c:pt>
                <c:pt idx="8">
                  <c:v>46527</c:v>
                </c:pt>
                <c:pt idx="9">
                  <c:v>46558</c:v>
                </c:pt>
                <c:pt idx="10">
                  <c:v>46588</c:v>
                </c:pt>
                <c:pt idx="11">
                  <c:v>46619</c:v>
                </c:pt>
                <c:pt idx="12">
                  <c:v>46650</c:v>
                </c:pt>
                <c:pt idx="13">
                  <c:v>46680</c:v>
                </c:pt>
                <c:pt idx="14">
                  <c:v>46711</c:v>
                </c:pt>
                <c:pt idx="15">
                  <c:v>46741</c:v>
                </c:pt>
                <c:pt idx="16">
                  <c:v>46772</c:v>
                </c:pt>
                <c:pt idx="17">
                  <c:v>46803</c:v>
                </c:pt>
              </c:numCache>
            </c:numRef>
          </c:cat>
          <c:val>
            <c:numRef>
              <c:f>'Gas-Other Chart'!$B$54:$B$71</c:f>
              <c:numCache>
                <c:formatCode>#,##0</c:formatCode>
                <c:ptCount val="18"/>
                <c:pt idx="0">
                  <c:v>25383.550000000079</c:v>
                </c:pt>
                <c:pt idx="1">
                  <c:v>25383.550000000079</c:v>
                </c:pt>
                <c:pt idx="2">
                  <c:v>25383.550000000079</c:v>
                </c:pt>
                <c:pt idx="3">
                  <c:v>25391.350000000079</c:v>
                </c:pt>
                <c:pt idx="4">
                  <c:v>25391.350000000079</c:v>
                </c:pt>
                <c:pt idx="5">
                  <c:v>25644.710000000079</c:v>
                </c:pt>
                <c:pt idx="6">
                  <c:v>25654.700000000081</c:v>
                </c:pt>
                <c:pt idx="7">
                  <c:v>25654.700000000081</c:v>
                </c:pt>
                <c:pt idx="8">
                  <c:v>25654.700000000081</c:v>
                </c:pt>
                <c:pt idx="9">
                  <c:v>25654.700000000081</c:v>
                </c:pt>
                <c:pt idx="10">
                  <c:v>25664.690000000079</c:v>
                </c:pt>
                <c:pt idx="11">
                  <c:v>25664.690000000079</c:v>
                </c:pt>
                <c:pt idx="12">
                  <c:v>25674.68000000008</c:v>
                </c:pt>
                <c:pt idx="13">
                  <c:v>25674.68000000008</c:v>
                </c:pt>
                <c:pt idx="14">
                  <c:v>25674.68000000008</c:v>
                </c:pt>
                <c:pt idx="15">
                  <c:v>26778.68000000008</c:v>
                </c:pt>
                <c:pt idx="16">
                  <c:v>28714.68000000008</c:v>
                </c:pt>
                <c:pt idx="17">
                  <c:v>29284.68000000008</c:v>
                </c:pt>
              </c:numCache>
            </c:numRef>
          </c:val>
          <c:extLst>
            <c:ext xmlns:c16="http://schemas.microsoft.com/office/drawing/2014/chart" uri="{C3380CC4-5D6E-409C-BE32-E72D297353CC}">
              <c16:uniqueId val="{00000026-8FB1-4F36-A927-9EB3C7E8A449}"/>
            </c:ext>
          </c:extLst>
        </c:ser>
        <c:dLbls>
          <c:showLegendKey val="0"/>
          <c:showVal val="0"/>
          <c:showCatName val="0"/>
          <c:showSerName val="0"/>
          <c:showPercent val="0"/>
          <c:showBubbleSize val="0"/>
        </c:dLbls>
        <c:gapWidth val="12"/>
        <c:overlap val="100"/>
        <c:axId val="227264624"/>
        <c:axId val="227262664"/>
      </c:barChart>
      <c:dateAx>
        <c:axId val="227264624"/>
        <c:scaling>
          <c:orientation val="minMax"/>
        </c:scaling>
        <c:delete val="0"/>
        <c:axPos val="b"/>
        <c:numFmt formatCode="[$-409]mmm\-yy;@" sourceLinked="0"/>
        <c:majorTickMark val="out"/>
        <c:minorTickMark val="none"/>
        <c:tickLblPos val="nextTo"/>
        <c:txPr>
          <a:bodyPr/>
          <a:lstStyle/>
          <a:p>
            <a:pPr>
              <a:defRPr sz="1100" b="1">
                <a:solidFill>
                  <a:schemeClr val="tx2"/>
                </a:solidFill>
                <a:latin typeface="Arial" panose="020B0604020202020204" pitchFamily="34" charset="0"/>
                <a:cs typeface="Arial" panose="020B0604020202020204" pitchFamily="34" charset="0"/>
              </a:defRPr>
            </a:pPr>
            <a:endParaRPr lang="en-US"/>
          </a:p>
        </c:txPr>
        <c:crossAx val="227262664"/>
        <c:crossesAt val="0"/>
        <c:auto val="1"/>
        <c:lblOffset val="100"/>
        <c:baseTimeUnit val="months"/>
      </c:dateAx>
      <c:valAx>
        <c:axId val="227262664"/>
        <c:scaling>
          <c:orientation val="minMax"/>
          <c:max val="30000"/>
          <c:min val="20000"/>
        </c:scaling>
        <c:delete val="0"/>
        <c:axPos val="l"/>
        <c:majorGridlines>
          <c:spPr>
            <a:ln w="3175">
              <a:prstDash val="sysDot"/>
            </a:ln>
          </c:spPr>
        </c:majorGridlines>
        <c:minorGridlines>
          <c:spPr>
            <a:ln>
              <a:noFill/>
            </a:ln>
          </c:spPr>
        </c:minorGridlines>
        <c:numFmt formatCode="###,##0\ &quot; MW&quot;" sourceLinked="0"/>
        <c:majorTickMark val="out"/>
        <c:minorTickMark val="none"/>
        <c:tickLblPos val="nextTo"/>
        <c:txPr>
          <a:bodyPr/>
          <a:lstStyle/>
          <a:p>
            <a:pPr>
              <a:defRPr sz="1200" b="1">
                <a:solidFill>
                  <a:schemeClr val="tx2"/>
                </a:solidFill>
                <a:latin typeface="Arial" panose="020B0604020202020204" pitchFamily="34" charset="0"/>
                <a:cs typeface="Arial" panose="020B0604020202020204" pitchFamily="34" charset="0"/>
              </a:defRPr>
            </a:pPr>
            <a:endParaRPr lang="en-US"/>
          </a:p>
        </c:txPr>
        <c:crossAx val="227264624"/>
        <c:crosses val="autoZero"/>
        <c:crossBetween val="between"/>
        <c:majorUnit val="1000"/>
      </c:valAx>
      <c:spPr>
        <a:noFill/>
        <a:ln>
          <a:noFill/>
        </a:ln>
        <a:effectLst/>
        <a:scene3d>
          <a:camera prst="orthographicFront"/>
          <a:lightRig rig="threePt" dir="t"/>
        </a:scene3d>
        <a:sp3d prstMaterial="matte"/>
      </c:spPr>
    </c:plotArea>
    <c:legend>
      <c:legendPos val="t"/>
      <c:legendEntry>
        <c:idx val="4"/>
        <c:delete val="1"/>
      </c:legendEntry>
      <c:layout>
        <c:manualLayout>
          <c:xMode val="edge"/>
          <c:yMode val="edge"/>
          <c:x val="0.10916186130964972"/>
          <c:y val="3.8245965066262197E-2"/>
          <c:w val="0.81937545484252661"/>
          <c:h val="2.2270697973743959E-2"/>
        </c:manualLayout>
      </c:layout>
      <c:overlay val="0"/>
      <c:txPr>
        <a:bodyPr/>
        <a:lstStyle/>
        <a:p>
          <a:pPr>
            <a:defRPr sz="1200">
              <a:solidFill>
                <a:schemeClr val="tx2"/>
              </a:solidFill>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000000000000033" l="0.70000000000000029" r="0.70000000000000029" t="0.75000000000000033" header="0.30000000000000016" footer="0.30000000000000016"/>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9521"/>
    <xdr:ext cx="12841356" cy="13480259"/>
    <xdr:graphicFrame macro="">
      <xdr:nvGraphicFramePr>
        <xdr:cNvPr id="2" name="WindChart">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0.1398</cdr:x>
      <cdr:y>0.93016</cdr:y>
    </cdr:from>
    <cdr:to>
      <cdr:x>0.76583</cdr:x>
      <cdr:y>0.98236</cdr:y>
    </cdr:to>
    <cdr:sp macro="" textlink="">
      <cdr:nvSpPr>
        <cdr:cNvPr id="5"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0.01204</cdr:x>
      <cdr:y>0.77654</cdr:y>
    </cdr:from>
    <cdr:to>
      <cdr:x>0.99831</cdr:x>
      <cdr:y>1</cdr:y>
    </cdr:to>
    <cdr:sp macro="" textlink="">
      <cdr:nvSpPr>
        <cdr:cNvPr id="7" name="TextBox 6"/>
        <cdr:cNvSpPr txBox="1"/>
      </cdr:nvSpPr>
      <cdr:spPr>
        <a:xfrm xmlns:a="http://schemas.openxmlformats.org/drawingml/2006/main">
          <a:off x="154610" y="10467979"/>
          <a:ext cx="12665044" cy="3012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Arial" panose="020B0604020202020204" pitchFamily="34" charset="0"/>
              <a:ea typeface="+mn-ea"/>
              <a:cs typeface="Arial" panose="020B0604020202020204" pitchFamily="34" charset="0"/>
            </a:rPr>
            <a:t>Notes:</a:t>
          </a:r>
          <a:endParaRPr lang="en-US">
            <a:effectLst/>
            <a:latin typeface="Arial" panose="020B0604020202020204" pitchFamily="34" charset="0"/>
            <a:cs typeface="Arial" panose="020B0604020202020204" pitchFamily="34" charset="0"/>
          </a:endParaRPr>
        </a:p>
        <a:p xmlns:a="http://schemas.openxmlformats.org/drawingml/2006/main">
          <a:r>
            <a:rPr lang="en-US" sz="1100">
              <a:solidFill>
                <a:schemeClr val="tx1"/>
              </a:solidFill>
              <a:effectLst/>
              <a:latin typeface="Arial" panose="020B0604020202020204" pitchFamily="34" charset="0"/>
              <a:ea typeface="+mn-ea"/>
              <a:cs typeface="Arial" panose="020B0604020202020204" pitchFamily="34" charset="0"/>
            </a:rPr>
            <a:t>- </a:t>
          </a:r>
          <a:r>
            <a:rPr lang="en-US" sz="1100" b="0">
              <a:solidFill>
                <a:schemeClr val="tx1"/>
              </a:solidFill>
              <a:effectLst/>
              <a:latin typeface="Arial" panose="020B0604020202020204" pitchFamily="34" charset="0"/>
              <a:ea typeface="+mn-ea"/>
              <a:cs typeface="Arial" panose="020B0604020202020204" pitchFamily="34" charset="0"/>
            </a:rPr>
            <a:t>Operational capacity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Private Use Network (PUN) generators that export power to the grid.</a:t>
          </a:r>
        </a:p>
        <a:p xmlns:a="http://schemas.openxmlformats.org/drawingml/2006/main">
          <a:r>
            <a:rPr lang="en-US" sz="1100">
              <a:effectLst/>
              <a:latin typeface="Arial" panose="020B0604020202020204" pitchFamily="34" charset="0"/>
              <a:ea typeface="+mn-ea"/>
              <a:cs typeface="Arial" panose="020B0604020202020204" pitchFamily="34" charset="0"/>
            </a:rPr>
            <a:t>- Accounts for retirements and rating changes due to facility expansions or repowering as these occur.</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are based on real power ratings, which reflect the maximum power that a generating unit can produce during normal sustained operating conditions as specified by the equipment manufacturer. </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include only facilities that have registered with ERCOT (Those larger than one megawatt and supply power to the ERCOT system.)</a:t>
          </a:r>
        </a:p>
        <a:p xmlns:a="http://schemas.openxmlformats.org/drawingml/2006/main">
          <a:r>
            <a:rPr lang="en-US" sz="1100">
              <a:effectLst/>
              <a:latin typeface="Arial" panose="020B0604020202020204" pitchFamily="34" charset="0"/>
              <a:ea typeface="+mn-ea"/>
              <a:cs typeface="Arial" panose="020B0604020202020204" pitchFamily="34" charset="0"/>
            </a:rPr>
            <a:t>- This chart reports annual planned units with projected Commercial Operations Dates throughout the calendar year. In contrast, ERCOT's Capacity, Demand and Reserves   </a:t>
          </a:r>
          <a:br>
            <a:rPr lang="en-US" sz="1100">
              <a:effectLst/>
              <a:latin typeface="Arial" panose="020B0604020202020204" pitchFamily="34" charset="0"/>
              <a:ea typeface="+mn-ea"/>
              <a:cs typeface="Arial" panose="020B0604020202020204" pitchFamily="34" charset="0"/>
            </a:rPr>
          </a:br>
          <a:r>
            <a:rPr lang="en-US" sz="1100">
              <a:effectLst/>
              <a:latin typeface="Arial" panose="020B0604020202020204" pitchFamily="34" charset="0"/>
              <a:ea typeface="+mn-ea"/>
              <a:cs typeface="Arial" panose="020B0604020202020204" pitchFamily="34" charset="0"/>
            </a:rPr>
            <a:t>  (CDR) report shows planned capacity projected to be available on or before the start of a given season.</a:t>
          </a:r>
        </a:p>
        <a:p xmlns:a="http://schemas.openxmlformats.org/drawingml/2006/main">
          <a:r>
            <a:rPr lang="en-US" sz="1100">
              <a:effectLst/>
              <a:latin typeface="Arial" panose="020B0604020202020204" pitchFamily="34" charset="0"/>
              <a:ea typeface="+mn-ea"/>
              <a:cs typeface="Arial" panose="020B0604020202020204" pitchFamily="34" charset="0"/>
            </a:rPr>
            <a:t>- Projects that have prior-year Projected CODs that have not been met, and for which ERCOT has not received COD updates, appear as planned projects for the subsequent year. </a:t>
          </a:r>
        </a:p>
        <a:p xmlns:a="http://schemas.openxmlformats.org/drawingml/2006/main">
          <a:r>
            <a:rPr lang="en-US" sz="1100">
              <a:effectLst/>
              <a:latin typeface="Arial" panose="020B0604020202020204" pitchFamily="34" charset="0"/>
              <a:ea typeface="+mn-ea"/>
              <a:cs typeface="Arial" panose="020B0604020202020204" pitchFamily="34" charset="0"/>
            </a:rPr>
            <a:t>- The data presented here is based upon the latest information provided to ERCOT by resource owners and developers and can change without notice.</a:t>
          </a:r>
        </a:p>
        <a:p xmlns:a="http://schemas.openxmlformats.org/drawingml/2006/main">
          <a:r>
            <a:rPr lang="en-US" sz="1100">
              <a:effectLst/>
              <a:latin typeface="Arial" panose="020B0604020202020204" pitchFamily="34" charset="0"/>
              <a:ea typeface="+mn-ea"/>
              <a:cs typeface="Arial" panose="020B0604020202020204" pitchFamily="34" charset="0"/>
            </a:rPr>
            <a:t>- A Small Generator is defined in the ERCOT Planning Guide (Section 5.2.1(3)) as a generator that currently has, or is proposed to have, an aggregate nameplate capacity of less than ten MW. The Small Generator category may include Distributed Generation Resources (DGRs) less than ten MW that are registered as Generation Resources to participate in the ERCOT markets.</a:t>
          </a:r>
        </a:p>
        <a:p xmlns:a="http://schemas.openxmlformats.org/drawingml/2006/main">
          <a:r>
            <a:rPr lang="en-US" sz="1100">
              <a:effectLst/>
              <a:latin typeface="Arial" panose="020B0604020202020204" pitchFamily="34" charset="0"/>
              <a:ea typeface="+mn-ea"/>
              <a:cs typeface="Arial" panose="020B0604020202020204" pitchFamily="34" charset="0"/>
            </a:rPr>
            <a:t>- For planned wind projects, financial security posted for funding interconnection facilities does not include CREZ security deposits, which are refunded to the Interconnecting Entity when an IA is signed.</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Arial" panose="020B0604020202020204" pitchFamily="34" charset="0"/>
              <a:ea typeface="+mn-ea"/>
              <a:cs typeface="Arial" panose="020B0604020202020204" pitchFamily="34" charset="0"/>
            </a:rPr>
            <a:t>- Negative capacity values indicate a net decrease in the capacity ratings due to repowering activities.</a:t>
          </a:r>
          <a:endParaRPr lang="en-US">
            <a:effectLst/>
            <a:latin typeface="Arial" panose="020B0604020202020204" pitchFamily="34" charset="0"/>
            <a:cs typeface="Arial" panose="020B0604020202020204" pitchFamily="34" charset="0"/>
          </a:endParaRPr>
        </a:p>
        <a:p xmlns:a="http://schemas.openxmlformats.org/drawingml/2006/main">
          <a:endParaRPr lang="en-US" sz="1100">
            <a:effectLst/>
            <a:latin typeface="Arial" panose="020B0604020202020204" pitchFamily="34" charset="0"/>
            <a:ea typeface="+mn-ea"/>
            <a:cs typeface="Arial" panose="020B0604020202020204" pitchFamily="34" charset="0"/>
          </a:endParaRPr>
        </a:p>
      </cdr:txBody>
    </cdr:sp>
  </cdr:relSizeAnchor>
  <cdr:relSizeAnchor xmlns:cdr="http://schemas.openxmlformats.org/drawingml/2006/chartDrawing">
    <cdr:from>
      <cdr:x>0</cdr:x>
      <cdr:y>0</cdr:y>
    </cdr:from>
    <cdr:to>
      <cdr:x>1</cdr:x>
      <cdr:y>0.04408</cdr:y>
    </cdr:to>
    <cdr:sp macro="" textlink="">
      <cdr:nvSpPr>
        <cdr:cNvPr id="2" name="TitleShape"/>
        <cdr:cNvSpPr txBox="1"/>
      </cdr:nvSpPr>
      <cdr:spPr>
        <a:xfrm xmlns:a="http://schemas.openxmlformats.org/drawingml/2006/main">
          <a:off x="0" y="0"/>
          <a:ext cx="11482918" cy="3539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latin typeface="Arial" panose="020B0604020202020204" pitchFamily="34" charset="0"/>
              <a:ea typeface="+mn-ea"/>
              <a:cs typeface="Arial" panose="020B0604020202020204" pitchFamily="34" charset="0"/>
            </a:rPr>
            <a:t>ERCOT Wind Additions by Month (as of September 30, 2026)</a:t>
          </a:r>
          <a:endParaRPr lang="en-US" sz="1600">
            <a:solidFill>
              <a:schemeClr val="tx2"/>
            </a:solidFill>
            <a:latin typeface="Arial" panose="020B0604020202020204" pitchFamily="34" charset="0"/>
            <a:cs typeface="Arial" panose="020B0604020202020204" pitchFamily="34" charset="0"/>
          </a:endParaRPr>
        </a:p>
        <a:p xmlns:a="http://schemas.openxmlformats.org/drawingml/2006/main">
          <a:pPr algn="ctr"/>
          <a:endParaRPr lang="en-US" sz="1050">
            <a:solidFill>
              <a:schemeClr val="tx2"/>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2811539" cy="10923104"/>
    <xdr:graphicFrame macro="">
      <xdr:nvGraphicFramePr>
        <xdr:cNvPr id="2" name="SolarChart">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0.1398</cdr:x>
      <cdr:y>0.93016</cdr:y>
    </cdr:from>
    <cdr:to>
      <cdr:x>0.76583</cdr:x>
      <cdr:y>0.98236</cdr:y>
    </cdr:to>
    <cdr:sp macro="" textlink="">
      <cdr:nvSpPr>
        <cdr:cNvPr id="5"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0.00382</cdr:x>
      <cdr:y>0.75341</cdr:y>
    </cdr:from>
    <cdr:to>
      <cdr:x>0.99788</cdr:x>
      <cdr:y>1</cdr:y>
    </cdr:to>
    <cdr:sp macro="" textlink="">
      <cdr:nvSpPr>
        <cdr:cNvPr id="7" name="TextBox 6"/>
        <cdr:cNvSpPr txBox="1"/>
      </cdr:nvSpPr>
      <cdr:spPr>
        <a:xfrm xmlns:a="http://schemas.openxmlformats.org/drawingml/2006/main">
          <a:off x="48940" y="8229600"/>
          <a:ext cx="12735439" cy="26935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Arial" panose="020B0604020202020204" pitchFamily="34" charset="0"/>
              <a:ea typeface="+mn-ea"/>
              <a:cs typeface="Arial" panose="020B0604020202020204" pitchFamily="34" charset="0"/>
            </a:rPr>
            <a:t>Notes:</a:t>
          </a:r>
          <a:endParaRPr lang="en-US">
            <a:effectLst/>
            <a:latin typeface="Arial" panose="020B0604020202020204" pitchFamily="34" charset="0"/>
            <a:cs typeface="Arial" panose="020B0604020202020204" pitchFamily="34" charset="0"/>
          </a:endParaRPr>
        </a:p>
        <a:p xmlns:a="http://schemas.openxmlformats.org/drawingml/2006/main">
          <a:r>
            <a:rPr lang="en-US" sz="1100">
              <a:solidFill>
                <a:schemeClr val="tx1"/>
              </a:solidFill>
              <a:effectLst/>
              <a:latin typeface="Arial" panose="020B0604020202020204" pitchFamily="34" charset="0"/>
              <a:ea typeface="+mn-ea"/>
              <a:cs typeface="Arial" panose="020B0604020202020204" pitchFamily="34" charset="0"/>
            </a:rPr>
            <a:t>- </a:t>
          </a:r>
          <a:r>
            <a:rPr lang="en-US" sz="1100" b="0">
              <a:solidFill>
                <a:schemeClr val="tx1"/>
              </a:solidFill>
              <a:effectLst/>
              <a:latin typeface="Arial" panose="020B0604020202020204" pitchFamily="34" charset="0"/>
              <a:ea typeface="+mn-ea"/>
              <a:cs typeface="Arial" panose="020B0604020202020204" pitchFamily="34" charset="0"/>
            </a:rPr>
            <a:t>Operational capacity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Private Use Network (PUN) generators that export power to the grid.</a:t>
          </a:r>
        </a:p>
        <a:p xmlns:a="http://schemas.openxmlformats.org/drawingml/2006/main">
          <a:r>
            <a:rPr lang="en-US" sz="1100">
              <a:effectLst/>
              <a:latin typeface="Arial" panose="020B0604020202020204" pitchFamily="34" charset="0"/>
              <a:ea typeface="+mn-ea"/>
              <a:cs typeface="Arial" panose="020B0604020202020204" pitchFamily="34" charset="0"/>
            </a:rPr>
            <a:t>- Accounts for retirements and rating changes due to facility expansions or repowering as these occur.</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are based on real power ratings, which reflect the maximum power that a generating unit can produce during normal sustained operating conditions as specified by the equipment manufacturer. </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include only facilities that have registered with ERCOT (Those larger than one megawatt and supply power to the ERCOT system.)</a:t>
          </a:r>
        </a:p>
        <a:p xmlns:a="http://schemas.openxmlformats.org/drawingml/2006/main">
          <a:r>
            <a:rPr lang="en-US" sz="1100">
              <a:effectLst/>
              <a:latin typeface="Arial" panose="020B0604020202020204" pitchFamily="34" charset="0"/>
              <a:ea typeface="+mn-ea"/>
              <a:cs typeface="Arial" panose="020B0604020202020204" pitchFamily="34" charset="0"/>
            </a:rPr>
            <a:t>- This chart reports annual planned units with projected Commercial Operations Dates throughout the calendar year. In contrast, ERCOT's Capacity, Demand and Reserves   </a:t>
          </a:r>
          <a:br>
            <a:rPr lang="en-US" sz="1100">
              <a:effectLst/>
              <a:latin typeface="Arial" panose="020B0604020202020204" pitchFamily="34" charset="0"/>
              <a:ea typeface="+mn-ea"/>
              <a:cs typeface="Arial" panose="020B0604020202020204" pitchFamily="34" charset="0"/>
            </a:rPr>
          </a:br>
          <a:r>
            <a:rPr lang="en-US" sz="1100">
              <a:effectLst/>
              <a:latin typeface="Arial" panose="020B0604020202020204" pitchFamily="34" charset="0"/>
              <a:ea typeface="+mn-ea"/>
              <a:cs typeface="Arial" panose="020B0604020202020204" pitchFamily="34" charset="0"/>
            </a:rPr>
            <a:t>  (CDR) report shows planned capacity projected to be available on or before the start of a given season.</a:t>
          </a:r>
        </a:p>
        <a:p xmlns:a="http://schemas.openxmlformats.org/drawingml/2006/main">
          <a:r>
            <a:rPr lang="en-US" sz="1100">
              <a:effectLst/>
              <a:latin typeface="Arial" panose="020B0604020202020204" pitchFamily="34" charset="0"/>
              <a:ea typeface="+mn-ea"/>
              <a:cs typeface="Arial" panose="020B0604020202020204" pitchFamily="34" charset="0"/>
            </a:rPr>
            <a:t>- Projects that have prior-year Projected CODs that have not been met, and for which ERCOT has not received COD updates, appear as planned projects for the subsequent year. </a:t>
          </a:r>
        </a:p>
        <a:p xmlns:a="http://schemas.openxmlformats.org/drawingml/2006/main">
          <a:r>
            <a:rPr lang="en-US" sz="1100">
              <a:effectLst/>
              <a:latin typeface="Arial" panose="020B0604020202020204" pitchFamily="34" charset="0"/>
              <a:ea typeface="+mn-ea"/>
              <a:cs typeface="Arial" panose="020B0604020202020204" pitchFamily="34" charset="0"/>
            </a:rPr>
            <a:t>- The data presented here is based upon the latest information provided to ERCOT by resource owners and developers and can change without notice.</a:t>
          </a:r>
        </a:p>
        <a:p xmlns:a="http://schemas.openxmlformats.org/drawingml/2006/main">
          <a:r>
            <a:rPr lang="en-US" sz="1100">
              <a:effectLst/>
              <a:latin typeface="Arial" panose="020B0604020202020204" pitchFamily="34" charset="0"/>
              <a:ea typeface="+mn-ea"/>
              <a:cs typeface="Arial" panose="020B0604020202020204" pitchFamily="34" charset="0"/>
            </a:rPr>
            <a:t>- A Small Generator is defined in the ERCOT Planning Guide (Section 5.2.1(3)) as a generator that currently has, or is proposed to have, an aggregate nameplate capacity of less than ten MW. The Small Generator category may include Distributed Generation Resources (DGRs) less than ten MW that are registered as Generation Resources to participate in the ERCOT markets.</a:t>
          </a:r>
          <a:br>
            <a:rPr lang="en-US" sz="1100">
              <a:effectLst/>
              <a:latin typeface="Arial" panose="020B0604020202020204" pitchFamily="34" charset="0"/>
              <a:ea typeface="+mn-ea"/>
              <a:cs typeface="Arial" panose="020B0604020202020204" pitchFamily="34" charset="0"/>
            </a:rPr>
          </a:br>
          <a:endParaRPr lang="en-US" sz="1100">
            <a:effectLst/>
            <a:latin typeface="Arial" panose="020B0604020202020204" pitchFamily="34" charset="0"/>
            <a:ea typeface="+mn-ea"/>
            <a:cs typeface="Arial" panose="020B0604020202020204" pitchFamily="34" charset="0"/>
          </a:endParaRPr>
        </a:p>
      </cdr:txBody>
    </cdr:sp>
  </cdr:relSizeAnchor>
  <cdr:relSizeAnchor xmlns:cdr="http://schemas.openxmlformats.org/drawingml/2006/chartDrawing">
    <cdr:from>
      <cdr:x>0</cdr:x>
      <cdr:y>0.00378</cdr:y>
    </cdr:from>
    <cdr:to>
      <cdr:x>1</cdr:x>
      <cdr:y>0.04157</cdr:y>
    </cdr:to>
    <cdr:sp macro="" textlink="">
      <cdr:nvSpPr>
        <cdr:cNvPr id="2" name="TitleShape"/>
        <cdr:cNvSpPr txBox="1"/>
      </cdr:nvSpPr>
      <cdr:spPr>
        <a:xfrm xmlns:a="http://schemas.openxmlformats.org/drawingml/2006/main">
          <a:off x="0" y="30460"/>
          <a:ext cx="11553825" cy="3045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latin typeface="Arial" panose="020B0604020202020204" pitchFamily="34" charset="0"/>
              <a:ea typeface="+mn-ea"/>
              <a:cs typeface="Arial" panose="020B0604020202020204" pitchFamily="34" charset="0"/>
            </a:rPr>
            <a:t>ERCOT Solar Additions by Month (as of September 30, 2026)</a:t>
          </a:r>
          <a:endParaRPr lang="en-US" sz="1600">
            <a:solidFill>
              <a:schemeClr val="tx2"/>
            </a:solidFill>
            <a:latin typeface="Arial" panose="020B0604020202020204" pitchFamily="34" charset="0"/>
            <a:cs typeface="Arial" panose="020B0604020202020204" pitchFamily="34" charset="0"/>
          </a:endParaRPr>
        </a:p>
        <a:p xmlns:a="http://schemas.openxmlformats.org/drawingml/2006/main">
          <a:pPr algn="ctr"/>
          <a:endParaRPr lang="en-US" sz="1050">
            <a:solidFill>
              <a:schemeClr val="tx2"/>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0.1398</cdr:x>
      <cdr:y>0.93016</cdr:y>
    </cdr:from>
    <cdr:to>
      <cdr:x>0.76583</cdr:x>
      <cdr:y>0.98236</cdr:y>
    </cdr:to>
    <cdr:sp macro="" textlink="">
      <cdr:nvSpPr>
        <cdr:cNvPr id="3"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0.1398</cdr:x>
      <cdr:y>0.93016</cdr:y>
    </cdr:from>
    <cdr:to>
      <cdr:x>0.76583</cdr:x>
      <cdr:y>0.98236</cdr:y>
    </cdr:to>
    <cdr:sp macro="" textlink="">
      <cdr:nvSpPr>
        <cdr:cNvPr id="6"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absoluteAnchor>
    <xdr:pos x="39756" y="10583"/>
    <xdr:ext cx="12821479" cy="11112500"/>
    <xdr:graphicFrame macro="">
      <xdr:nvGraphicFramePr>
        <xdr:cNvPr id="2" name="BatteryChart">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0.1398</cdr:x>
      <cdr:y>0.93016</cdr:y>
    </cdr:from>
    <cdr:to>
      <cdr:x>0.76583</cdr:x>
      <cdr:y>0.98236</cdr:y>
    </cdr:to>
    <cdr:sp macro="" textlink="">
      <cdr:nvSpPr>
        <cdr:cNvPr id="5"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0.00301</cdr:x>
      <cdr:y>0.71476</cdr:y>
    </cdr:from>
    <cdr:to>
      <cdr:x>0.99707</cdr:x>
      <cdr:y>0.99993</cdr:y>
    </cdr:to>
    <cdr:sp macro="" textlink="">
      <cdr:nvSpPr>
        <cdr:cNvPr id="7" name="TextBox 6"/>
        <cdr:cNvSpPr txBox="1"/>
      </cdr:nvSpPr>
      <cdr:spPr>
        <a:xfrm xmlns:a="http://schemas.openxmlformats.org/drawingml/2006/main">
          <a:off x="38593" y="7942792"/>
          <a:ext cx="12745319" cy="31689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Arial" panose="020B0604020202020204" pitchFamily="34" charset="0"/>
              <a:ea typeface="+mn-ea"/>
              <a:cs typeface="Arial" panose="020B0604020202020204" pitchFamily="34" charset="0"/>
            </a:rPr>
            <a:t>Notes:</a:t>
          </a:r>
          <a:endParaRPr lang="en-US">
            <a:effectLst/>
            <a:latin typeface="Arial" panose="020B0604020202020204" pitchFamily="34" charset="0"/>
            <a:cs typeface="Arial" panose="020B0604020202020204" pitchFamily="34" charset="0"/>
          </a:endParaRPr>
        </a:p>
        <a:p xmlns:a="http://schemas.openxmlformats.org/drawingml/2006/main">
          <a:r>
            <a:rPr lang="en-US" sz="1100" b="0">
              <a:effectLst/>
              <a:latin typeface="Arial" panose="020B0604020202020204" pitchFamily="34" charset="0"/>
              <a:ea typeface="+mn-ea"/>
              <a:cs typeface="Arial" panose="020B0604020202020204" pitchFamily="34" charset="0"/>
            </a:rPr>
            <a:t>- </a:t>
          </a:r>
          <a:r>
            <a:rPr lang="en-US" sz="1100" b="0">
              <a:solidFill>
                <a:schemeClr val="tx1"/>
              </a:solidFill>
              <a:effectLst/>
              <a:latin typeface="Arial" panose="020B0604020202020204" pitchFamily="34" charset="0"/>
              <a:ea typeface="+mn-ea"/>
              <a:cs typeface="Arial" panose="020B0604020202020204" pitchFamily="34" charset="0"/>
            </a:rPr>
            <a:t>Operational capacity includes generating units that have received ERCOT approval to synchronize with the grid but have not passed qualification testing necessary to be approved for full participation in ERCOT market operations</a:t>
          </a:r>
          <a:r>
            <a:rPr lang="en-US" sz="1100" b="0">
              <a:solidFill>
                <a:srgbClr val="C00000"/>
              </a:solidFill>
              <a:effectLst/>
              <a:latin typeface="Arial" panose="020B0604020202020204" pitchFamily="34" charset="0"/>
              <a:ea typeface="+mn-ea"/>
              <a:cs typeface="Arial" panose="020B0604020202020204" pitchFamily="34" charset="0"/>
            </a:rPr>
            <a:t>. </a:t>
          </a:r>
        </a:p>
        <a:p xmlns:a="http://schemas.openxmlformats.org/drawingml/2006/main">
          <a:r>
            <a:rPr lang="en-US" sz="1100">
              <a:effectLst/>
              <a:latin typeface="Arial" panose="020B0604020202020204" pitchFamily="34" charset="0"/>
              <a:ea typeface="+mn-ea"/>
              <a:cs typeface="Arial" panose="020B0604020202020204" pitchFamily="34" charset="0"/>
            </a:rPr>
            <a:t>-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Private Use Network (PUN) generators that export power to the grid.</a:t>
          </a:r>
        </a:p>
        <a:p xmlns:a="http://schemas.openxmlformats.org/drawingml/2006/main">
          <a:r>
            <a:rPr lang="en-US" sz="1100">
              <a:effectLst/>
              <a:latin typeface="Arial" panose="020B0604020202020204" pitchFamily="34" charset="0"/>
              <a:ea typeface="+mn-ea"/>
              <a:cs typeface="Arial" panose="020B0604020202020204" pitchFamily="34" charset="0"/>
            </a:rPr>
            <a:t>- Accounts for retirements and rating changes due to facility expansions or repowering as these occur.</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are based on real power ratings, which reflect the maximum power that a generating unit can produce during normal sustained operating conditions as specified by the equipment manufacturer. </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include only facilities that have registered with ERCOT (Those larger than one megawatt and supply power to the ERCOT system.)</a:t>
          </a:r>
        </a:p>
        <a:p xmlns:a="http://schemas.openxmlformats.org/drawingml/2006/main">
          <a:r>
            <a:rPr lang="en-US" sz="1100">
              <a:effectLst/>
              <a:latin typeface="Arial" panose="020B0604020202020204" pitchFamily="34" charset="0"/>
              <a:ea typeface="+mn-ea"/>
              <a:cs typeface="Arial" panose="020B0604020202020204" pitchFamily="34" charset="0"/>
            </a:rPr>
            <a:t>- This chart reports annual planned units with projected Commercial Operations Dates throughout the calendar year. In contrast, ERCOT's Capacity, Demand and Reserves   </a:t>
          </a:r>
          <a:br>
            <a:rPr lang="en-US" sz="1100">
              <a:effectLst/>
              <a:latin typeface="Arial" panose="020B0604020202020204" pitchFamily="34" charset="0"/>
              <a:ea typeface="+mn-ea"/>
              <a:cs typeface="Arial" panose="020B0604020202020204" pitchFamily="34" charset="0"/>
            </a:rPr>
          </a:br>
          <a:r>
            <a:rPr lang="en-US" sz="1100">
              <a:effectLst/>
              <a:latin typeface="Arial" panose="020B0604020202020204" pitchFamily="34" charset="0"/>
              <a:ea typeface="+mn-ea"/>
              <a:cs typeface="Arial" panose="020B0604020202020204" pitchFamily="34" charset="0"/>
            </a:rPr>
            <a:t>  (CDR) report shows planned capacity projected to be available on or before the start of a given season.</a:t>
          </a:r>
        </a:p>
        <a:p xmlns:a="http://schemas.openxmlformats.org/drawingml/2006/main">
          <a:r>
            <a:rPr lang="en-US" sz="1100">
              <a:effectLst/>
              <a:latin typeface="Arial" panose="020B0604020202020204" pitchFamily="34" charset="0"/>
              <a:ea typeface="+mn-ea"/>
              <a:cs typeface="Arial" panose="020B0604020202020204" pitchFamily="34" charset="0"/>
            </a:rPr>
            <a:t>- Projects that have prior-year Projected CODs that have not been met, and for which ERCOT has not received COD updates, appear as planned projects for the subsequent year. </a:t>
          </a:r>
        </a:p>
        <a:p xmlns:a="http://schemas.openxmlformats.org/drawingml/2006/main">
          <a:r>
            <a:rPr lang="en-US" sz="1100">
              <a:effectLst/>
              <a:latin typeface="Arial" panose="020B0604020202020204" pitchFamily="34" charset="0"/>
              <a:ea typeface="+mn-ea"/>
              <a:cs typeface="Arial" panose="020B0604020202020204" pitchFamily="34" charset="0"/>
            </a:rPr>
            <a:t>- The data presented here is based upon the latest information provided to ERCOT by resource owners and developers and can change without notice.</a:t>
          </a:r>
        </a:p>
        <a:p xmlns:a="http://schemas.openxmlformats.org/drawingml/2006/main">
          <a:r>
            <a:rPr lang="en-US" sz="1100">
              <a:effectLst/>
              <a:latin typeface="Arial" panose="020B0604020202020204" pitchFamily="34" charset="0"/>
              <a:ea typeface="+mn-ea"/>
              <a:cs typeface="Arial" panose="020B0604020202020204" pitchFamily="34" charset="0"/>
            </a:rPr>
            <a:t>- A Small Generator is defined in the ERCOT Planning Guide (Section 5.2.1(3)) as a generator that currently has, or is proposed to have, an aggregate nameplate capacity of less than ten MW. The Small Generator category may include Distributed Generation Resources (DGRs) less than ten MW that are registered as Generation Resources to participate in the ERCOT markets.</a:t>
          </a:r>
        </a:p>
        <a:p xmlns:a="http://schemas.openxmlformats.org/drawingml/2006/main">
          <a:r>
            <a:rPr lang="en-US" sz="1100">
              <a:effectLst/>
              <a:latin typeface="Arial" panose="020B0604020202020204" pitchFamily="34" charset="0"/>
              <a:ea typeface="+mn-ea"/>
              <a:cs typeface="Arial" panose="020B0604020202020204" pitchFamily="34" charset="0"/>
            </a:rPr>
            <a:t>- For battery storage facilities co-located with generation equipment (hybrid systems), the installed capacities reflect the standalone battery capacity amounts.</a:t>
          </a:r>
        </a:p>
        <a:p xmlns:a="http://schemas.openxmlformats.org/drawingml/2006/main">
          <a:r>
            <a:rPr lang="en-US" sz="1100">
              <a:effectLst/>
              <a:latin typeface="Arial" panose="020B0604020202020204" pitchFamily="34" charset="0"/>
              <a:ea typeface="+mn-ea"/>
              <a:cs typeface="Arial" panose="020B0604020202020204" pitchFamily="34" charset="0"/>
            </a:rPr>
            <a:t>- This chart includes battery energy storage systems defined as Self-Limiting Facilities (SLFs), where the MW capacities are reported as zero to reflect projects for which the battery system is sized to be less than the total nameplate capacity of all registered generators at the facility. Other generators at the facility typically include one or more inverter-based resources, such as solar.</a:t>
          </a:r>
        </a:p>
        <a:p xmlns:a="http://schemas.openxmlformats.org/drawingml/2006/main">
          <a:r>
            <a:rPr lang="en-US" sz="1100">
              <a:effectLst/>
              <a:latin typeface="Arial" panose="020B0604020202020204" pitchFamily="34" charset="0"/>
              <a:ea typeface="+mn-ea"/>
              <a:cs typeface="Arial" panose="020B0604020202020204" pitchFamily="34" charset="0"/>
            </a:rPr>
            <a:t> </a:t>
          </a:r>
        </a:p>
        <a:p xmlns:a="http://schemas.openxmlformats.org/drawingml/2006/main">
          <a:endParaRPr lang="en-US" sz="1100">
            <a:effectLst/>
            <a:latin typeface="Arial" panose="020B0604020202020204" pitchFamily="34" charset="0"/>
            <a:ea typeface="+mn-ea"/>
            <a:cs typeface="Arial" panose="020B0604020202020204" pitchFamily="34" charset="0"/>
          </a:endParaRP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Arial" panose="020B0604020202020204" pitchFamily="34" charset="0"/>
              <a:ea typeface="+mn-ea"/>
              <a:cs typeface="Arial" panose="020B0604020202020204" pitchFamily="34" charset="0"/>
            </a:rPr>
            <a:t> </a:t>
          </a:r>
          <a:endParaRPr lang="en-US">
            <a:effectLst/>
            <a:latin typeface="Arial" panose="020B0604020202020204" pitchFamily="34" charset="0"/>
            <a:cs typeface="Arial" panose="020B0604020202020204" pitchFamily="34" charset="0"/>
          </a:endParaRPr>
        </a:p>
        <a:p xmlns:a="http://schemas.openxmlformats.org/drawingml/2006/main">
          <a:endParaRPr lang="en-US" sz="1100">
            <a:effectLst/>
            <a:latin typeface="Arial" panose="020B0604020202020204" pitchFamily="34" charset="0"/>
            <a:ea typeface="+mn-ea"/>
            <a:cs typeface="Arial" panose="020B0604020202020204" pitchFamily="34" charset="0"/>
          </a:endParaRPr>
        </a:p>
        <a:p xmlns:a="http://schemas.openxmlformats.org/drawingml/2006/main">
          <a:br>
            <a:rPr lang="en-US" sz="1100">
              <a:effectLst/>
              <a:latin typeface="Arial" panose="020B0604020202020204" pitchFamily="34" charset="0"/>
              <a:ea typeface="+mn-ea"/>
              <a:cs typeface="Arial" panose="020B0604020202020204" pitchFamily="34" charset="0"/>
            </a:rPr>
          </a:br>
          <a:br>
            <a:rPr lang="en-US" sz="1100">
              <a:effectLst/>
              <a:latin typeface="Arial" panose="020B0604020202020204" pitchFamily="34" charset="0"/>
              <a:ea typeface="+mn-ea"/>
              <a:cs typeface="Arial" panose="020B0604020202020204" pitchFamily="34" charset="0"/>
            </a:rPr>
          </a:br>
          <a:endParaRPr lang="en-US" sz="9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0.00378</cdr:y>
    </cdr:from>
    <cdr:to>
      <cdr:x>1</cdr:x>
      <cdr:y>0.04157</cdr:y>
    </cdr:to>
    <cdr:sp macro="" textlink="">
      <cdr:nvSpPr>
        <cdr:cNvPr id="2" name="TitleShape"/>
        <cdr:cNvSpPr txBox="1"/>
      </cdr:nvSpPr>
      <cdr:spPr>
        <a:xfrm xmlns:a="http://schemas.openxmlformats.org/drawingml/2006/main">
          <a:off x="0" y="30460"/>
          <a:ext cx="11553825" cy="3045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latin typeface="Arial" panose="020B0604020202020204" pitchFamily="34" charset="0"/>
              <a:ea typeface="+mn-ea"/>
              <a:cs typeface="Arial" panose="020B0604020202020204" pitchFamily="34" charset="0"/>
            </a:rPr>
            <a:t>ERCOT Battery Additions by Month (as of </a:t>
          </a:r>
          <a:r>
            <a:rPr kumimoji="0" lang="en-US" sz="1600" b="1" i="0" u="none" strike="noStrike" kern="0" cap="none" spc="0" normalizeH="0" baseline="0" noProof="0">
              <a:ln>
                <a:noFill/>
              </a:ln>
              <a:solidFill>
                <a:srgbClr val="44546A"/>
              </a:solidFill>
              <a:effectLst/>
              <a:uLnTx/>
              <a:uFillTx/>
              <a:latin typeface="Arial" panose="020B0604020202020204" pitchFamily="34" charset="0"/>
              <a:ea typeface="+mn-ea"/>
              <a:cs typeface="Arial" panose="020B0604020202020204" pitchFamily="34" charset="0"/>
            </a:rPr>
            <a:t>September 30</a:t>
          </a:r>
          <a:r>
            <a:rPr lang="en-US" sz="1600" b="1" i="0" baseline="0">
              <a:solidFill>
                <a:schemeClr val="tx2"/>
              </a:solidFill>
              <a:latin typeface="Arial" panose="020B0604020202020204" pitchFamily="34" charset="0"/>
              <a:ea typeface="+mn-ea"/>
              <a:cs typeface="Arial" panose="020B0604020202020204" pitchFamily="34" charset="0"/>
            </a:rPr>
            <a:t>, 2026)</a:t>
          </a:r>
          <a:endParaRPr lang="en-US" sz="1600">
            <a:solidFill>
              <a:schemeClr val="tx2"/>
            </a:solidFill>
            <a:latin typeface="Arial" panose="020B0604020202020204" pitchFamily="34" charset="0"/>
            <a:cs typeface="Arial" panose="020B0604020202020204" pitchFamily="34" charset="0"/>
          </a:endParaRPr>
        </a:p>
        <a:p xmlns:a="http://schemas.openxmlformats.org/drawingml/2006/main">
          <a:pPr algn="ctr"/>
          <a:endParaRPr lang="en-US" sz="1050">
            <a:solidFill>
              <a:schemeClr val="tx2"/>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0.1398</cdr:x>
      <cdr:y>0.93016</cdr:y>
    </cdr:from>
    <cdr:to>
      <cdr:x>0.76583</cdr:x>
      <cdr:y>0.98236</cdr:y>
    </cdr:to>
    <cdr:sp macro="" textlink="">
      <cdr:nvSpPr>
        <cdr:cNvPr id="3"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0.1398</cdr:x>
      <cdr:y>0.93016</cdr:y>
    </cdr:from>
    <cdr:to>
      <cdr:x>0.76583</cdr:x>
      <cdr:y>0.98236</cdr:y>
    </cdr:to>
    <cdr:sp macro="" textlink="">
      <cdr:nvSpPr>
        <cdr:cNvPr id="6"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2771783" cy="9972674"/>
    <xdr:graphicFrame macro="">
      <xdr:nvGraphicFramePr>
        <xdr:cNvPr id="2" name="GasCCChart">
          <a:extLst>
            <a:ext uri="{FF2B5EF4-FFF2-40B4-BE49-F238E27FC236}">
              <a16:creationId xmlns:a16="http://schemas.microsoft.com/office/drawing/2014/main" id="{C95841A5-4843-4CCB-8B5F-0369F938556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0.1398</cdr:x>
      <cdr:y>0.93016</cdr:y>
    </cdr:from>
    <cdr:to>
      <cdr:x>0.76583</cdr:x>
      <cdr:y>0.98236</cdr:y>
    </cdr:to>
    <cdr:sp macro="" textlink="">
      <cdr:nvSpPr>
        <cdr:cNvPr id="5"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0.73257</cdr:y>
    </cdr:from>
    <cdr:to>
      <cdr:x>1</cdr:x>
      <cdr:y>1</cdr:y>
    </cdr:to>
    <cdr:sp macro="" textlink="">
      <cdr:nvSpPr>
        <cdr:cNvPr id="7" name="TextBox 6"/>
        <cdr:cNvSpPr txBox="1"/>
      </cdr:nvSpPr>
      <cdr:spPr>
        <a:xfrm xmlns:a="http://schemas.openxmlformats.org/drawingml/2006/main">
          <a:off x="0" y="7305674"/>
          <a:ext cx="12771783" cy="26669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Arial" panose="020B0604020202020204" pitchFamily="34" charset="0"/>
              <a:ea typeface="+mn-ea"/>
              <a:cs typeface="Arial" panose="020B0604020202020204" pitchFamily="34" charset="0"/>
            </a:rPr>
            <a:t>Notes:</a:t>
          </a:r>
          <a:endParaRPr lang="en-US">
            <a:effectLst/>
            <a:latin typeface="Arial" panose="020B0604020202020204" pitchFamily="34" charset="0"/>
            <a:cs typeface="Arial" panose="020B0604020202020204" pitchFamily="34" charset="0"/>
          </a:endParaRPr>
        </a:p>
        <a:p xmlns:a="http://schemas.openxmlformats.org/drawingml/2006/main">
          <a:r>
            <a:rPr lang="en-US" sz="1100" b="1">
              <a:effectLst/>
              <a:latin typeface="Arial" panose="020B0604020202020204" pitchFamily="34" charset="0"/>
              <a:ea typeface="+mn-ea"/>
              <a:cs typeface="Arial" panose="020B0604020202020204" pitchFamily="34" charset="0"/>
            </a:rPr>
            <a:t>- </a:t>
          </a:r>
          <a:r>
            <a:rPr lang="en-US" sz="1100" b="0">
              <a:solidFill>
                <a:schemeClr val="tx1"/>
              </a:solidFill>
              <a:effectLst/>
              <a:latin typeface="Arial" panose="020B0604020202020204" pitchFamily="34" charset="0"/>
              <a:ea typeface="+mn-ea"/>
              <a:cs typeface="Arial" panose="020B0604020202020204" pitchFamily="34" charset="0"/>
            </a:rPr>
            <a:t>Operational capacity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Private Use Network (PUN) generators that export power to the grid.</a:t>
          </a:r>
        </a:p>
        <a:p xmlns:a="http://schemas.openxmlformats.org/drawingml/2006/main">
          <a:r>
            <a:rPr lang="en-US" sz="1100">
              <a:effectLst/>
              <a:latin typeface="Arial" panose="020B0604020202020204" pitchFamily="34" charset="0"/>
              <a:ea typeface="+mn-ea"/>
              <a:cs typeface="Arial" panose="020B0604020202020204" pitchFamily="34" charset="0"/>
            </a:rPr>
            <a:t>- Accounts for retirements and rating changes due to facility expansions or repowering as these occur.</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are based on real power ratings, which reflect the maximum power that a generating unit can produce during normal sustained operating conditions as specified by the equipment manufacturer. </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include only facilities that have registered with ERCOT (Those larger than one megawatt and supply power to the ERCOT system.)</a:t>
          </a:r>
        </a:p>
        <a:p xmlns:a="http://schemas.openxmlformats.org/drawingml/2006/main">
          <a:r>
            <a:rPr lang="en-US" sz="1100">
              <a:effectLst/>
              <a:latin typeface="Arial" panose="020B0604020202020204" pitchFamily="34" charset="0"/>
              <a:ea typeface="+mn-ea"/>
              <a:cs typeface="Arial" panose="020B0604020202020204" pitchFamily="34" charset="0"/>
            </a:rPr>
            <a:t>- This chart reports annual planned units with projected Commercial Operations Dates throughout the calendar year. In contrast, ERCOT's Capacity, Demand and Reserves   </a:t>
          </a:r>
          <a:br>
            <a:rPr lang="en-US" sz="1100">
              <a:effectLst/>
              <a:latin typeface="Arial" panose="020B0604020202020204" pitchFamily="34" charset="0"/>
              <a:ea typeface="+mn-ea"/>
              <a:cs typeface="Arial" panose="020B0604020202020204" pitchFamily="34" charset="0"/>
            </a:rPr>
          </a:br>
          <a:r>
            <a:rPr lang="en-US" sz="1100">
              <a:effectLst/>
              <a:latin typeface="Arial" panose="020B0604020202020204" pitchFamily="34" charset="0"/>
              <a:ea typeface="+mn-ea"/>
              <a:cs typeface="Arial" panose="020B0604020202020204" pitchFamily="34" charset="0"/>
            </a:rPr>
            <a:t>  (CDR) report shows planned capacity projected to be available on or before the start of a given season.</a:t>
          </a:r>
        </a:p>
        <a:p xmlns:a="http://schemas.openxmlformats.org/drawingml/2006/main">
          <a:r>
            <a:rPr lang="en-US" sz="1100">
              <a:effectLst/>
              <a:latin typeface="Arial" panose="020B0604020202020204" pitchFamily="34" charset="0"/>
              <a:ea typeface="+mn-ea"/>
              <a:cs typeface="Arial" panose="020B0604020202020204" pitchFamily="34" charset="0"/>
            </a:rPr>
            <a:t>- Projects that have prior-year Projected CODs that have not been met, and for which ERCOT has not received COD updates, appear as planned projects for the subsequent year. </a:t>
          </a:r>
        </a:p>
        <a:p xmlns:a="http://schemas.openxmlformats.org/drawingml/2006/main">
          <a:r>
            <a:rPr lang="en-US" sz="1100">
              <a:effectLst/>
              <a:latin typeface="Arial" panose="020B0604020202020204" pitchFamily="34" charset="0"/>
              <a:ea typeface="+mn-ea"/>
              <a:cs typeface="Arial" panose="020B0604020202020204" pitchFamily="34" charset="0"/>
            </a:rPr>
            <a:t>- The data presented here is based upon the latest information provided to ERCOT by resource owners and developers and can change without notice.</a:t>
          </a:r>
        </a:p>
        <a:p xmlns:a="http://schemas.openxmlformats.org/drawingml/2006/main">
          <a:r>
            <a:rPr lang="en-US" sz="1100">
              <a:effectLst/>
              <a:latin typeface="Arial" panose="020B0604020202020204" pitchFamily="34" charset="0"/>
              <a:ea typeface="+mn-ea"/>
              <a:cs typeface="Arial" panose="020B0604020202020204" pitchFamily="34" charset="0"/>
            </a:rPr>
            <a:t>- A Small Generator is defined in the ERCOT Planning Guide (Section 5.2.1(3)) as a generator that currently has, or is proposed to have, an aggregate nameplate capacity of less than ten MW. The Small Generator category may include Distributed Generation Resources (DGRs) less than ten MW that are registered as Generation Resources to participate in the ERCOT markets.</a:t>
          </a:r>
          <a:br>
            <a:rPr lang="en-US" sz="1100">
              <a:effectLst/>
              <a:latin typeface="Arial" panose="020B0604020202020204" pitchFamily="34" charset="0"/>
              <a:ea typeface="+mn-ea"/>
              <a:cs typeface="Arial" panose="020B0604020202020204" pitchFamily="34" charset="0"/>
            </a:rPr>
          </a:br>
          <a:br>
            <a:rPr lang="en-US" sz="1100">
              <a:effectLst/>
              <a:latin typeface="Arial" panose="020B0604020202020204" pitchFamily="34" charset="0"/>
              <a:ea typeface="+mn-ea"/>
              <a:cs typeface="Arial" panose="020B0604020202020204" pitchFamily="34" charset="0"/>
            </a:rPr>
          </a:br>
          <a:endParaRPr lang="en-US" sz="1100">
            <a:effectLst/>
            <a:latin typeface="Arial" panose="020B0604020202020204" pitchFamily="34" charset="0"/>
            <a:ea typeface="+mn-ea"/>
            <a:cs typeface="Arial" panose="020B0604020202020204" pitchFamily="34" charset="0"/>
          </a:endParaRPr>
        </a:p>
      </cdr:txBody>
    </cdr:sp>
  </cdr:relSizeAnchor>
  <cdr:relSizeAnchor xmlns:cdr="http://schemas.openxmlformats.org/drawingml/2006/chartDrawing">
    <cdr:from>
      <cdr:x>0.1398</cdr:x>
      <cdr:y>0.93016</cdr:y>
    </cdr:from>
    <cdr:to>
      <cdr:x>0.76583</cdr:x>
      <cdr:y>0.98236</cdr:y>
    </cdr:to>
    <cdr:sp macro="" textlink="">
      <cdr:nvSpPr>
        <cdr:cNvPr id="3"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0.00164</cdr:x>
      <cdr:y>0</cdr:y>
    </cdr:from>
    <cdr:to>
      <cdr:x>0.99753</cdr:x>
      <cdr:y>0.04408</cdr:y>
    </cdr:to>
    <cdr:sp macro="" textlink="">
      <cdr:nvSpPr>
        <cdr:cNvPr id="6" name="TitleShape"/>
        <cdr:cNvSpPr txBox="1"/>
      </cdr:nvSpPr>
      <cdr:spPr>
        <a:xfrm xmlns:a="http://schemas.openxmlformats.org/drawingml/2006/main">
          <a:off x="19050" y="0"/>
          <a:ext cx="11544300" cy="3535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latin typeface="Arial" panose="020B0604020202020204" pitchFamily="34" charset="0"/>
              <a:ea typeface="+mn-ea"/>
              <a:cs typeface="Arial" panose="020B0604020202020204" pitchFamily="34" charset="0"/>
            </a:rPr>
            <a:t>ERCOT Gas Combined-Cycle Additions by Month (as of </a:t>
          </a:r>
          <a:r>
            <a:rPr kumimoji="0" lang="en-US" sz="1600" b="1" i="0" u="none" strike="noStrike" kern="0" cap="none" spc="0" normalizeH="0" baseline="0" noProof="0">
              <a:ln>
                <a:noFill/>
              </a:ln>
              <a:solidFill>
                <a:srgbClr val="44546A"/>
              </a:solidFill>
              <a:effectLst/>
              <a:uLnTx/>
              <a:uFillTx/>
              <a:latin typeface="Arial" panose="020B0604020202020204" pitchFamily="34" charset="0"/>
              <a:ea typeface="+mn-ea"/>
              <a:cs typeface="Arial" panose="020B0604020202020204" pitchFamily="34" charset="0"/>
            </a:rPr>
            <a:t>Septmeber 30</a:t>
          </a:r>
          <a:r>
            <a:rPr lang="en-US" sz="1600" b="1" i="0" baseline="0">
              <a:solidFill>
                <a:schemeClr val="tx2"/>
              </a:solidFill>
              <a:latin typeface="Arial" panose="020B0604020202020204" pitchFamily="34" charset="0"/>
              <a:ea typeface="+mn-ea"/>
              <a:cs typeface="Arial" panose="020B0604020202020204" pitchFamily="34" charset="0"/>
            </a:rPr>
            <a:t>, 2026)</a:t>
          </a:r>
          <a:endParaRPr lang="en-US" sz="1600">
            <a:solidFill>
              <a:schemeClr val="tx2"/>
            </a:solidFill>
            <a:latin typeface="Arial" panose="020B0604020202020204" pitchFamily="34" charset="0"/>
            <a:cs typeface="Arial" panose="020B0604020202020204" pitchFamily="34" charset="0"/>
          </a:endParaRPr>
        </a:p>
        <a:p xmlns:a="http://schemas.openxmlformats.org/drawingml/2006/main">
          <a:pPr algn="ctr"/>
          <a:endParaRPr lang="en-US" sz="1050">
            <a:solidFill>
              <a:schemeClr val="tx2"/>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59634"/>
    <xdr:ext cx="12781722" cy="9770165"/>
    <xdr:graphicFrame macro="">
      <xdr:nvGraphicFramePr>
        <xdr:cNvPr id="2" name="GasOtherChart">
          <a:extLst>
            <a:ext uri="{FF2B5EF4-FFF2-40B4-BE49-F238E27FC236}">
              <a16:creationId xmlns:a16="http://schemas.microsoft.com/office/drawing/2014/main" id="{A6E112DD-541F-49BA-84D7-107D7C0C5C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0.1398</cdr:x>
      <cdr:y>0.93016</cdr:y>
    </cdr:from>
    <cdr:to>
      <cdr:x>0.76583</cdr:x>
      <cdr:y>0.98236</cdr:y>
    </cdr:to>
    <cdr:sp macro="" textlink="">
      <cdr:nvSpPr>
        <cdr:cNvPr id="5"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0.1398</cdr:x>
      <cdr:y>0.93016</cdr:y>
    </cdr:from>
    <cdr:to>
      <cdr:x>0.76583</cdr:x>
      <cdr:y>0.98236</cdr:y>
    </cdr:to>
    <cdr:sp macro="" textlink="">
      <cdr:nvSpPr>
        <cdr:cNvPr id="3" name="TextBox 4"/>
        <cdr:cNvSpPr txBox="1"/>
      </cdr:nvSpPr>
      <cdr:spPr>
        <a:xfrm xmlns:a="http://schemas.openxmlformats.org/drawingml/2006/main">
          <a:off x="1257301" y="6223000"/>
          <a:ext cx="5630334"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cdr:y>
    </cdr:from>
    <cdr:to>
      <cdr:x>0.99589</cdr:x>
      <cdr:y>0.04408</cdr:y>
    </cdr:to>
    <cdr:sp macro="" textlink="">
      <cdr:nvSpPr>
        <cdr:cNvPr id="6" name="TitleShape"/>
        <cdr:cNvSpPr txBox="1"/>
      </cdr:nvSpPr>
      <cdr:spPr>
        <a:xfrm xmlns:a="http://schemas.openxmlformats.org/drawingml/2006/main">
          <a:off x="0" y="0"/>
          <a:ext cx="11544300" cy="3543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500" b="1" i="0" baseline="0">
              <a:solidFill>
                <a:schemeClr val="tx2"/>
              </a:solidFill>
              <a:latin typeface="Arial" panose="020B0604020202020204" pitchFamily="34" charset="0"/>
              <a:ea typeface="+mn-ea"/>
              <a:cs typeface="Arial" panose="020B0604020202020204" pitchFamily="34" charset="0"/>
            </a:rPr>
            <a:t>ERCOT Gas Combustion Turbine/Reciprocating Engine Additions by Month (as of </a:t>
          </a:r>
          <a:r>
            <a:rPr kumimoji="0" lang="en-US" sz="1600" b="1" i="0" u="none" strike="noStrike" kern="0" cap="none" spc="0" normalizeH="0" baseline="0" noProof="0">
              <a:ln>
                <a:noFill/>
              </a:ln>
              <a:solidFill>
                <a:srgbClr val="44546A"/>
              </a:solidFill>
              <a:effectLst/>
              <a:uLnTx/>
              <a:uFillTx/>
              <a:latin typeface="Arial" panose="020B0604020202020204" pitchFamily="34" charset="0"/>
              <a:ea typeface="+mn-ea"/>
              <a:cs typeface="Arial" panose="020B0604020202020204" pitchFamily="34" charset="0"/>
            </a:rPr>
            <a:t>September 30</a:t>
          </a:r>
          <a:r>
            <a:rPr lang="en-US" sz="1500" b="1" i="0" baseline="0">
              <a:solidFill>
                <a:schemeClr val="tx2"/>
              </a:solidFill>
              <a:latin typeface="Arial" panose="020B0604020202020204" pitchFamily="34" charset="0"/>
              <a:ea typeface="+mn-ea"/>
              <a:cs typeface="Arial" panose="020B0604020202020204" pitchFamily="34" charset="0"/>
            </a:rPr>
            <a:t>, 2026)</a:t>
          </a:r>
          <a:endParaRPr lang="en-US" sz="1500">
            <a:solidFill>
              <a:schemeClr val="tx2"/>
            </a:solidFill>
            <a:latin typeface="Arial" panose="020B0604020202020204" pitchFamily="34" charset="0"/>
            <a:cs typeface="Arial" panose="020B0604020202020204" pitchFamily="34" charset="0"/>
          </a:endParaRPr>
        </a:p>
        <a:p xmlns:a="http://schemas.openxmlformats.org/drawingml/2006/main">
          <a:pPr algn="ctr"/>
          <a:endParaRPr lang="en-US" sz="1500">
            <a:solidFill>
              <a:schemeClr val="tx2"/>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0.69388</cdr:y>
    </cdr:from>
    <cdr:to>
      <cdr:x>1</cdr:x>
      <cdr:y>1</cdr:y>
    </cdr:to>
    <cdr:sp macro="" textlink="">
      <cdr:nvSpPr>
        <cdr:cNvPr id="8" name="TextBox 1">
          <a:extLst xmlns:a="http://schemas.openxmlformats.org/drawingml/2006/main">
            <a:ext uri="{FF2B5EF4-FFF2-40B4-BE49-F238E27FC236}">
              <a16:creationId xmlns:a16="http://schemas.microsoft.com/office/drawing/2014/main" id="{40192A5A-BA70-42A2-9ECF-C2FAE7472816}"/>
            </a:ext>
          </a:extLst>
        </cdr:cNvPr>
        <cdr:cNvSpPr txBox="1"/>
      </cdr:nvSpPr>
      <cdr:spPr>
        <a:xfrm xmlns:a="http://schemas.openxmlformats.org/drawingml/2006/main">
          <a:off x="0" y="6779316"/>
          <a:ext cx="12781722" cy="29908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effectLst/>
              <a:latin typeface="Arial" panose="020B0604020202020204" pitchFamily="34" charset="0"/>
              <a:ea typeface="+mn-ea"/>
              <a:cs typeface="Arial" panose="020B0604020202020204" pitchFamily="34" charset="0"/>
            </a:rPr>
            <a:t>Notes:</a:t>
          </a:r>
          <a:endParaRPr lang="en-US">
            <a:effectLst/>
            <a:latin typeface="Arial" panose="020B0604020202020204" pitchFamily="34" charset="0"/>
            <a:cs typeface="Arial" panose="020B0604020202020204" pitchFamily="34" charset="0"/>
          </a:endParaRPr>
        </a:p>
        <a:p xmlns:a="http://schemas.openxmlformats.org/drawingml/2006/main">
          <a:r>
            <a:rPr lang="en-US" sz="1100" b="1">
              <a:effectLst/>
              <a:latin typeface="Arial" panose="020B0604020202020204" pitchFamily="34" charset="0"/>
              <a:ea typeface="+mn-ea"/>
              <a:cs typeface="Arial" panose="020B0604020202020204" pitchFamily="34" charset="0"/>
            </a:rPr>
            <a:t>- </a:t>
          </a:r>
          <a:r>
            <a:rPr lang="en-US" sz="1100" b="0">
              <a:solidFill>
                <a:schemeClr val="tx1"/>
              </a:solidFill>
              <a:effectLst/>
              <a:latin typeface="Arial" panose="020B0604020202020204" pitchFamily="34" charset="0"/>
              <a:ea typeface="+mn-ea"/>
              <a:cs typeface="Arial" panose="020B0604020202020204" pitchFamily="34" charset="0"/>
            </a:rPr>
            <a:t>Operational capacity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generating units that have received ERCOT approval to synchronize with the grid but have not passed qualification testing necessary to be approved for full participation in ERCOT market operations. </a:t>
          </a:r>
        </a:p>
        <a:p xmlns:a="http://schemas.openxmlformats.org/drawingml/2006/main">
          <a:r>
            <a:rPr lang="en-US" sz="1100">
              <a:effectLst/>
              <a:latin typeface="Arial" panose="020B0604020202020204" pitchFamily="34" charset="0"/>
              <a:ea typeface="+mn-ea"/>
              <a:cs typeface="Arial" panose="020B0604020202020204" pitchFamily="34" charset="0"/>
            </a:rPr>
            <a:t>- Includes Private Use Network (PUN) generators that export power to the grid.</a:t>
          </a:r>
        </a:p>
        <a:p xmlns:a="http://schemas.openxmlformats.org/drawingml/2006/main">
          <a:r>
            <a:rPr lang="en-US" sz="1100">
              <a:effectLst/>
              <a:latin typeface="Arial" panose="020B0604020202020204" pitchFamily="34" charset="0"/>
              <a:ea typeface="+mn-ea"/>
              <a:cs typeface="Arial" panose="020B0604020202020204" pitchFamily="34" charset="0"/>
            </a:rPr>
            <a:t>- Accounts for retirements and rating changes due to facility expansions or repowering as these occur.</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are based on real power ratings, which reflect the maximum power that a generating unit can produce during normal sustained operating conditions as specified by the equipment manufacturer. </a:t>
          </a:r>
        </a:p>
        <a:p xmlns:a="http://schemas.openxmlformats.org/drawingml/2006/main">
          <a:r>
            <a:rPr lang="en-US" sz="1100">
              <a:effectLst/>
              <a:latin typeface="Arial" panose="020B0604020202020204" pitchFamily="34" charset="0"/>
              <a:ea typeface="+mn-ea"/>
              <a:cs typeface="Arial" panose="020B0604020202020204" pitchFamily="34" charset="0"/>
            </a:rPr>
            <a:t>- Operational capacities include only facilities that have registered with ERCOT (Those larger than one megawatt and supply power to the ERCOT system.)</a:t>
          </a:r>
        </a:p>
        <a:p xmlns:a="http://schemas.openxmlformats.org/drawingml/2006/main">
          <a:r>
            <a:rPr lang="en-US" sz="1100">
              <a:effectLst/>
              <a:latin typeface="Arial" panose="020B0604020202020204" pitchFamily="34" charset="0"/>
              <a:ea typeface="+mn-ea"/>
              <a:cs typeface="Arial" panose="020B0604020202020204" pitchFamily="34" charset="0"/>
            </a:rPr>
            <a:t>- This chart reports annual planned units with projected Commercial Operations Dates throughout the calendar year. In contrast, ERCOT's Capacity, Demand and Reserves   </a:t>
          </a:r>
          <a:br>
            <a:rPr lang="en-US" sz="1100">
              <a:effectLst/>
              <a:latin typeface="Arial" panose="020B0604020202020204" pitchFamily="34" charset="0"/>
              <a:ea typeface="+mn-ea"/>
              <a:cs typeface="Arial" panose="020B0604020202020204" pitchFamily="34" charset="0"/>
            </a:rPr>
          </a:br>
          <a:r>
            <a:rPr lang="en-US" sz="1100">
              <a:effectLst/>
              <a:latin typeface="Arial" panose="020B0604020202020204" pitchFamily="34" charset="0"/>
              <a:ea typeface="+mn-ea"/>
              <a:cs typeface="Arial" panose="020B0604020202020204" pitchFamily="34" charset="0"/>
            </a:rPr>
            <a:t>  (CDR) report shows planned capacity projected to be available on or before the start of a given season.</a:t>
          </a:r>
        </a:p>
        <a:p xmlns:a="http://schemas.openxmlformats.org/drawingml/2006/main">
          <a:r>
            <a:rPr lang="en-US" sz="1100">
              <a:effectLst/>
              <a:latin typeface="Arial" panose="020B0604020202020204" pitchFamily="34" charset="0"/>
              <a:ea typeface="+mn-ea"/>
              <a:cs typeface="Arial" panose="020B0604020202020204" pitchFamily="34" charset="0"/>
            </a:rPr>
            <a:t>- Projects that have prior-year Projected CODs that have not been met, and for which ERCOT has not received COD updates, appear as planned projects for the subsequent year. </a:t>
          </a:r>
        </a:p>
        <a:p xmlns:a="http://schemas.openxmlformats.org/drawingml/2006/main">
          <a:r>
            <a:rPr lang="en-US" sz="1100">
              <a:effectLst/>
              <a:latin typeface="Arial" panose="020B0604020202020204" pitchFamily="34" charset="0"/>
              <a:ea typeface="+mn-ea"/>
              <a:cs typeface="Arial" panose="020B0604020202020204" pitchFamily="34" charset="0"/>
            </a:rPr>
            <a:t>- The data presented here is based upon the latest information provided to ERCOT by resource owners and developers and can change without notice.</a:t>
          </a:r>
        </a:p>
        <a:p xmlns:a="http://schemas.openxmlformats.org/drawingml/2006/main">
          <a:r>
            <a:rPr lang="en-US" sz="1100">
              <a:effectLst/>
              <a:latin typeface="Arial" panose="020B0604020202020204" pitchFamily="34" charset="0"/>
              <a:ea typeface="+mn-ea"/>
              <a:cs typeface="Arial" panose="020B0604020202020204" pitchFamily="34" charset="0"/>
            </a:rPr>
            <a:t>- A Small Generator is defined in the ERCOT Planning Guide (Section 5.2.1(3)) as a generator that currently has, or is proposed to have, an aggregate nameplate capacity of less than ten MW. The Small Generator category may include Distributed Generation Resources (DGRs) less than ten MW that are registered as Generation Resources to participate in the ERCOT markets.</a:t>
          </a:r>
        </a:p>
        <a:p xmlns:a="http://schemas.openxmlformats.org/drawingml/2006/main">
          <a:r>
            <a:rPr lang="en-US" sz="1100">
              <a:effectLst/>
              <a:latin typeface="Arial" panose="020B0604020202020204" pitchFamily="34" charset="0"/>
              <a:ea typeface="+mn-ea"/>
              <a:cs typeface="Arial" panose="020B0604020202020204" pitchFamily="34" charset="0"/>
            </a:rPr>
            <a:t>- Other Planned capacity reflects registered Settlement-Only Generator (SOG) projects under 10 MW in size that are not included in the Resource Integration and Ongoing Operations Interconnection Services (RIOO-IS) System. These projects typically constitute emergency generators at big-box retail stores that can provide power to the ERCOT grid when not used for back-up power.</a:t>
          </a:r>
        </a:p>
        <a:p xmlns:a="http://schemas.openxmlformats.org/drawingml/2006/main">
          <a:endParaRPr lang="en-US" sz="1100">
            <a:effectLst/>
            <a:latin typeface="Arial" panose="020B0604020202020204" pitchFamily="34" charset="0"/>
            <a:ea typeface="+mn-ea"/>
            <a:cs typeface="Arial" panose="020B0604020202020204" pitchFamily="34" charset="0"/>
          </a:endParaRPr>
        </a:p>
        <a:p xmlns:a="http://schemas.openxmlformats.org/drawingml/2006/main">
          <a:br>
            <a:rPr lang="en-US" sz="1100">
              <a:effectLst/>
              <a:latin typeface="Arial" panose="020B0604020202020204" pitchFamily="34" charset="0"/>
              <a:ea typeface="+mn-ea"/>
              <a:cs typeface="Arial" panose="020B0604020202020204" pitchFamily="34" charset="0"/>
            </a:rPr>
          </a:br>
          <a:br>
            <a:rPr lang="en-US" sz="1100">
              <a:effectLst/>
              <a:latin typeface="Arial" panose="020B0604020202020204" pitchFamily="34" charset="0"/>
              <a:ea typeface="+mn-ea"/>
              <a:cs typeface="Arial" panose="020B0604020202020204" pitchFamily="34" charset="0"/>
            </a:rPr>
          </a:br>
          <a:endParaRPr lang="en-US" sz="1100">
            <a:effectLst/>
            <a:latin typeface="Arial" panose="020B0604020202020204" pitchFamily="34" charset="0"/>
            <a:ea typeface="+mn-ea"/>
            <a:cs typeface="Arial" panose="020B060402020202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6">
    <tabColor theme="4"/>
    <pageSetUpPr fitToPage="1"/>
  </sheetPr>
  <dimension ref="A1:AH164"/>
  <sheetViews>
    <sheetView showGridLines="0" tabSelected="1" zoomScale="80" zoomScaleNormal="80" workbookViewId="0">
      <selection activeCell="G1" sqref="G1"/>
    </sheetView>
  </sheetViews>
  <sheetFormatPr defaultRowHeight="15" customHeight="1" x14ac:dyDescent="0.3"/>
  <cols>
    <col min="1" max="1" width="11.33203125" bestFit="1" customWidth="1"/>
    <col min="2" max="2" width="47.44140625" bestFit="1" customWidth="1"/>
    <col min="3" max="3" width="26.6640625" bestFit="1" customWidth="1"/>
    <col min="4" max="4" width="38.6640625" customWidth="1"/>
    <col min="5" max="5" width="38.109375" bestFit="1" customWidth="1"/>
    <col min="6" max="6" width="27.44140625" bestFit="1" customWidth="1"/>
    <col min="7" max="7" width="15.44140625" customWidth="1"/>
    <col min="8" max="8" width="9.44140625" bestFit="1" customWidth="1"/>
    <col min="9" max="9" width="10.6640625" bestFit="1" customWidth="1"/>
    <col min="10" max="10" width="30.6640625" bestFit="1" customWidth="1"/>
    <col min="11" max="11" width="14.109375" bestFit="1" customWidth="1"/>
    <col min="12" max="12" width="13.44140625" bestFit="1" customWidth="1"/>
    <col min="13" max="13" width="11.21875" bestFit="1" customWidth="1"/>
    <col min="14" max="14" width="6.21875" bestFit="1" customWidth="1"/>
    <col min="15" max="15" width="11" bestFit="1" customWidth="1"/>
    <col min="16" max="16" width="14.109375" bestFit="1" customWidth="1"/>
    <col min="17" max="17" width="5.44140625" bestFit="1" customWidth="1"/>
    <col min="18" max="18" width="16.5546875" bestFit="1" customWidth="1"/>
  </cols>
  <sheetData>
    <row r="1" spans="9:18" ht="15" customHeight="1" x14ac:dyDescent="0.3">
      <c r="I1" s="1" t="s">
        <v>0</v>
      </c>
      <c r="J1" s="1" t="s">
        <v>1</v>
      </c>
      <c r="K1" s="1" t="s">
        <v>2</v>
      </c>
      <c r="L1" s="1" t="s">
        <v>3</v>
      </c>
      <c r="M1" s="1" t="s">
        <v>4</v>
      </c>
      <c r="N1" s="1" t="s">
        <v>5</v>
      </c>
      <c r="O1" s="1" t="s">
        <v>6</v>
      </c>
      <c r="P1" s="1" t="s">
        <v>7</v>
      </c>
      <c r="Q1" s="1" t="s">
        <v>8</v>
      </c>
      <c r="R1" s="1" t="s">
        <v>9</v>
      </c>
    </row>
    <row r="2" spans="9:18" ht="15" customHeight="1" x14ac:dyDescent="0.3">
      <c r="I2" s="2" t="s">
        <v>30</v>
      </c>
      <c r="J2" s="2" t="s">
        <v>31</v>
      </c>
      <c r="K2" s="2" t="s">
        <v>28</v>
      </c>
      <c r="L2" s="3">
        <v>45626</v>
      </c>
      <c r="M2" s="3">
        <v>37552</v>
      </c>
      <c r="N2" s="2" t="s">
        <v>26</v>
      </c>
      <c r="O2" s="2" t="s">
        <v>27</v>
      </c>
      <c r="P2" s="2">
        <v>3</v>
      </c>
      <c r="Q2" s="2">
        <v>2024</v>
      </c>
      <c r="R2" s="2" t="s">
        <v>11</v>
      </c>
    </row>
    <row r="3" spans="9:18" ht="15" customHeight="1" x14ac:dyDescent="0.3">
      <c r="I3" s="4" t="s">
        <v>86</v>
      </c>
      <c r="J3" s="4" t="s">
        <v>87</v>
      </c>
      <c r="K3" s="4" t="s">
        <v>63</v>
      </c>
      <c r="L3" s="5">
        <v>46204</v>
      </c>
      <c r="M3" s="5">
        <v>45512</v>
      </c>
      <c r="N3" s="4" t="s">
        <v>26</v>
      </c>
      <c r="O3" s="4" t="s">
        <v>27</v>
      </c>
      <c r="P3" s="4">
        <v>295.3</v>
      </c>
      <c r="Q3" s="4">
        <v>2026</v>
      </c>
      <c r="R3" s="4" t="s">
        <v>11</v>
      </c>
    </row>
    <row r="4" spans="9:18" ht="15" customHeight="1" x14ac:dyDescent="0.3">
      <c r="I4" s="2" t="s">
        <v>56</v>
      </c>
      <c r="J4" s="2" t="s">
        <v>57</v>
      </c>
      <c r="K4" s="2" t="s">
        <v>58</v>
      </c>
      <c r="L4" s="3">
        <v>46387</v>
      </c>
      <c r="M4" s="3">
        <v>43082</v>
      </c>
      <c r="N4" s="2" t="s">
        <v>26</v>
      </c>
      <c r="O4" s="2" t="s">
        <v>27</v>
      </c>
      <c r="P4" s="2">
        <v>197.01</v>
      </c>
      <c r="Q4" s="2">
        <v>2026</v>
      </c>
      <c r="R4" s="2" t="s">
        <v>11</v>
      </c>
    </row>
    <row r="5" spans="9:18" ht="15" customHeight="1" x14ac:dyDescent="0.3">
      <c r="I5" s="4" t="s">
        <v>154</v>
      </c>
      <c r="J5" s="4" t="s">
        <v>155</v>
      </c>
      <c r="K5" s="4" t="s">
        <v>85</v>
      </c>
      <c r="L5" s="5">
        <v>46419</v>
      </c>
      <c r="M5" s="5">
        <v>38411</v>
      </c>
      <c r="N5" s="4" t="s">
        <v>26</v>
      </c>
      <c r="O5" s="4" t="s">
        <v>27</v>
      </c>
      <c r="P5" s="4">
        <v>120.23</v>
      </c>
      <c r="Q5" s="4">
        <v>2027</v>
      </c>
      <c r="R5" s="4" t="s">
        <v>12</v>
      </c>
    </row>
    <row r="6" spans="9:18" ht="15" customHeight="1" x14ac:dyDescent="0.3">
      <c r="I6" s="2" t="s">
        <v>156</v>
      </c>
      <c r="J6" s="2" t="s">
        <v>157</v>
      </c>
      <c r="K6" s="2" t="s">
        <v>28</v>
      </c>
      <c r="L6" s="3">
        <v>46419</v>
      </c>
      <c r="M6" s="3">
        <v>38411</v>
      </c>
      <c r="N6" s="2" t="s">
        <v>26</v>
      </c>
      <c r="O6" s="2" t="s">
        <v>27</v>
      </c>
      <c r="P6" s="2">
        <v>231.49</v>
      </c>
      <c r="Q6" s="2">
        <v>2027</v>
      </c>
      <c r="R6" s="2" t="s">
        <v>12</v>
      </c>
    </row>
    <row r="7" spans="9:18" ht="15" customHeight="1" x14ac:dyDescent="0.3">
      <c r="I7" s="4" t="s">
        <v>158</v>
      </c>
      <c r="J7" s="4" t="s">
        <v>159</v>
      </c>
      <c r="K7" s="4" t="s">
        <v>85</v>
      </c>
      <c r="L7" s="5">
        <v>46419</v>
      </c>
      <c r="M7" s="5">
        <v>38411</v>
      </c>
      <c r="N7" s="4" t="s">
        <v>26</v>
      </c>
      <c r="O7" s="4" t="s">
        <v>27</v>
      </c>
      <c r="P7" s="4">
        <v>168.45</v>
      </c>
      <c r="Q7" s="4">
        <v>2027</v>
      </c>
      <c r="R7" s="4" t="s">
        <v>12</v>
      </c>
    </row>
    <row r="8" spans="9:18" ht="15" customHeight="1" x14ac:dyDescent="0.3">
      <c r="I8" s="2" t="s">
        <v>273</v>
      </c>
      <c r="J8" s="2" t="s">
        <v>274</v>
      </c>
      <c r="K8" s="2" t="s">
        <v>275</v>
      </c>
      <c r="L8" s="3">
        <v>46447</v>
      </c>
      <c r="M8" s="3">
        <v>46073</v>
      </c>
      <c r="N8" s="2" t="s">
        <v>26</v>
      </c>
      <c r="O8" s="2" t="s">
        <v>27</v>
      </c>
      <c r="P8" s="2">
        <v>303.2</v>
      </c>
      <c r="Q8" s="2">
        <v>2027</v>
      </c>
      <c r="R8" s="2" t="s">
        <v>12</v>
      </c>
    </row>
    <row r="9" spans="9:18" ht="15" customHeight="1" x14ac:dyDescent="0.3">
      <c r="I9" s="4" t="s">
        <v>179</v>
      </c>
      <c r="J9" s="4" t="s">
        <v>180</v>
      </c>
      <c r="K9" s="4" t="s">
        <v>10</v>
      </c>
      <c r="L9" s="5">
        <v>46451</v>
      </c>
      <c r="M9" s="5">
        <v>45482</v>
      </c>
      <c r="N9" s="4" t="s">
        <v>26</v>
      </c>
      <c r="O9" s="4" t="s">
        <v>27</v>
      </c>
      <c r="P9" s="4">
        <v>262</v>
      </c>
      <c r="Q9" s="4">
        <v>2027</v>
      </c>
      <c r="R9" s="4" t="s">
        <v>12</v>
      </c>
    </row>
    <row r="10" spans="9:18" ht="15" customHeight="1" x14ac:dyDescent="0.3">
      <c r="I10" s="2" t="s">
        <v>492</v>
      </c>
      <c r="J10" s="2" t="s">
        <v>493</v>
      </c>
      <c r="K10" s="2" t="s">
        <v>494</v>
      </c>
      <c r="L10" s="3">
        <v>46542</v>
      </c>
      <c r="M10" s="3">
        <v>41698</v>
      </c>
      <c r="N10" s="2" t="s">
        <v>26</v>
      </c>
      <c r="O10" s="2" t="s">
        <v>27</v>
      </c>
      <c r="P10" s="2">
        <v>252.5</v>
      </c>
      <c r="Q10" s="2">
        <v>2027</v>
      </c>
      <c r="R10" s="2" t="s">
        <v>11</v>
      </c>
    </row>
    <row r="11" spans="9:18" ht="15" customHeight="1" x14ac:dyDescent="0.3">
      <c r="I11" s="4" t="s">
        <v>221</v>
      </c>
      <c r="J11" s="4" t="s">
        <v>222</v>
      </c>
      <c r="K11" s="4" t="s">
        <v>223</v>
      </c>
      <c r="L11" s="5">
        <v>46544</v>
      </c>
      <c r="M11" s="5">
        <v>43695</v>
      </c>
      <c r="N11" s="4" t="s">
        <v>26</v>
      </c>
      <c r="O11" s="4" t="s">
        <v>27</v>
      </c>
      <c r="P11" s="4">
        <v>261.10000000000002</v>
      </c>
      <c r="Q11" s="4">
        <v>2027</v>
      </c>
      <c r="R11" s="4" t="s">
        <v>12</v>
      </c>
    </row>
    <row r="12" spans="9:18" ht="15" customHeight="1" x14ac:dyDescent="0.3">
      <c r="I12" s="2" t="s">
        <v>245</v>
      </c>
      <c r="J12" s="2" t="s">
        <v>246</v>
      </c>
      <c r="K12" s="2" t="s">
        <v>65</v>
      </c>
      <c r="L12" s="3">
        <v>46599</v>
      </c>
      <c r="M12" s="3">
        <v>45420</v>
      </c>
      <c r="N12" s="2" t="s">
        <v>26</v>
      </c>
      <c r="O12" s="2" t="s">
        <v>27</v>
      </c>
      <c r="P12" s="2">
        <v>222.6</v>
      </c>
      <c r="Q12" s="2">
        <v>2027</v>
      </c>
      <c r="R12" s="2" t="s">
        <v>12</v>
      </c>
    </row>
    <row r="13" spans="9:18" ht="15" customHeight="1" x14ac:dyDescent="0.3">
      <c r="I13" s="4" t="s">
        <v>320</v>
      </c>
      <c r="J13" s="4" t="s">
        <v>321</v>
      </c>
      <c r="K13" s="4" t="s">
        <v>322</v>
      </c>
      <c r="L13" s="5">
        <v>46647</v>
      </c>
      <c r="M13" s="5">
        <v>44067</v>
      </c>
      <c r="N13" s="4" t="s">
        <v>26</v>
      </c>
      <c r="O13" s="4" t="s">
        <v>27</v>
      </c>
      <c r="P13" s="4">
        <v>283.39999999999998</v>
      </c>
      <c r="Q13" s="4">
        <v>2027</v>
      </c>
      <c r="R13" s="4" t="s">
        <v>12</v>
      </c>
    </row>
    <row r="14" spans="9:18" ht="15" customHeight="1" x14ac:dyDescent="0.3">
      <c r="I14" s="2" t="s">
        <v>357</v>
      </c>
      <c r="J14" s="2" t="s">
        <v>358</v>
      </c>
      <c r="K14" s="2" t="s">
        <v>14</v>
      </c>
      <c r="L14" s="3">
        <v>46661</v>
      </c>
      <c r="M14" s="3">
        <v>45824</v>
      </c>
      <c r="N14" s="2" t="s">
        <v>26</v>
      </c>
      <c r="O14" s="2" t="s">
        <v>27</v>
      </c>
      <c r="P14" s="2">
        <v>202.33</v>
      </c>
      <c r="Q14" s="2">
        <v>2027</v>
      </c>
      <c r="R14" s="2" t="s">
        <v>11</v>
      </c>
    </row>
    <row r="15" spans="9:18" ht="15" customHeight="1" x14ac:dyDescent="0.3">
      <c r="I15" s="4" t="s">
        <v>407</v>
      </c>
      <c r="J15" s="4" t="s">
        <v>408</v>
      </c>
      <c r="K15" s="4" t="s">
        <v>409</v>
      </c>
      <c r="L15" s="5">
        <v>46722</v>
      </c>
      <c r="M15" s="5">
        <v>45800</v>
      </c>
      <c r="N15" s="4" t="s">
        <v>26</v>
      </c>
      <c r="O15" s="4" t="s">
        <v>27</v>
      </c>
      <c r="P15" s="4">
        <v>197.75</v>
      </c>
      <c r="Q15" s="4">
        <v>2027</v>
      </c>
      <c r="R15" s="4" t="s">
        <v>12</v>
      </c>
    </row>
    <row r="16" spans="9:18" ht="15" customHeight="1" x14ac:dyDescent="0.3">
      <c r="I16" s="2" t="s">
        <v>410</v>
      </c>
      <c r="J16" s="2" t="s">
        <v>411</v>
      </c>
      <c r="K16" s="2" t="s">
        <v>409</v>
      </c>
      <c r="L16" s="3">
        <v>46722</v>
      </c>
      <c r="M16" s="3">
        <v>45800</v>
      </c>
      <c r="N16" s="2" t="s">
        <v>26</v>
      </c>
      <c r="O16" s="2" t="s">
        <v>27</v>
      </c>
      <c r="P16" s="2">
        <v>197.75</v>
      </c>
      <c r="Q16" s="2">
        <v>2027</v>
      </c>
      <c r="R16" s="2" t="s">
        <v>12</v>
      </c>
    </row>
    <row r="17" spans="9:18" ht="15" customHeight="1" x14ac:dyDescent="0.3">
      <c r="I17" s="4" t="s">
        <v>412</v>
      </c>
      <c r="J17" s="4" t="s">
        <v>413</v>
      </c>
      <c r="K17" s="4" t="s">
        <v>409</v>
      </c>
      <c r="L17" s="5">
        <v>46722</v>
      </c>
      <c r="M17" s="5">
        <v>45827</v>
      </c>
      <c r="N17" s="4" t="s">
        <v>26</v>
      </c>
      <c r="O17" s="4" t="s">
        <v>27</v>
      </c>
      <c r="P17" s="4">
        <v>196.1</v>
      </c>
      <c r="Q17" s="4">
        <v>2027</v>
      </c>
      <c r="R17" s="4" t="s">
        <v>12</v>
      </c>
    </row>
    <row r="18" spans="9:18" ht="15" customHeight="1" x14ac:dyDescent="0.3">
      <c r="I18" s="2" t="s">
        <v>414</v>
      </c>
      <c r="J18" s="2" t="s">
        <v>415</v>
      </c>
      <c r="K18" s="2" t="s">
        <v>416</v>
      </c>
      <c r="L18" s="3">
        <v>46736</v>
      </c>
      <c r="M18" s="3">
        <v>45733</v>
      </c>
      <c r="N18" s="2" t="s">
        <v>26</v>
      </c>
      <c r="O18" s="2" t="s">
        <v>27</v>
      </c>
      <c r="P18" s="2">
        <v>180</v>
      </c>
      <c r="Q18" s="2">
        <v>2027</v>
      </c>
      <c r="R18" s="2" t="s">
        <v>12</v>
      </c>
    </row>
    <row r="19" spans="9:18" ht="15" customHeight="1" x14ac:dyDescent="0.3">
      <c r="I19" s="4" t="s">
        <v>417</v>
      </c>
      <c r="J19" s="4" t="s">
        <v>418</v>
      </c>
      <c r="K19" s="4" t="s">
        <v>409</v>
      </c>
      <c r="L19" s="5">
        <v>46752</v>
      </c>
      <c r="M19" s="5">
        <v>45827</v>
      </c>
      <c r="N19" s="4" t="s">
        <v>26</v>
      </c>
      <c r="O19" s="4" t="s">
        <v>27</v>
      </c>
      <c r="P19" s="4">
        <v>195.4</v>
      </c>
      <c r="Q19" s="4">
        <v>2027</v>
      </c>
      <c r="R19" s="4" t="s">
        <v>12</v>
      </c>
    </row>
    <row r="20" spans="9:18" ht="15" customHeight="1" x14ac:dyDescent="0.3">
      <c r="I20" s="2" t="s">
        <v>419</v>
      </c>
      <c r="J20" s="2" t="s">
        <v>420</v>
      </c>
      <c r="K20" s="2" t="s">
        <v>295</v>
      </c>
      <c r="L20" s="3">
        <v>46752</v>
      </c>
      <c r="M20" s="3">
        <v>45709</v>
      </c>
      <c r="N20" s="2" t="s">
        <v>26</v>
      </c>
      <c r="O20" s="2" t="s">
        <v>27</v>
      </c>
      <c r="P20" s="2">
        <v>146.49</v>
      </c>
      <c r="Q20" s="2">
        <v>2027</v>
      </c>
      <c r="R20" s="2" t="s">
        <v>12</v>
      </c>
    </row>
    <row r="21" spans="9:18" ht="15" customHeight="1" x14ac:dyDescent="0.3">
      <c r="I21" s="4" t="s">
        <v>421</v>
      </c>
      <c r="J21" s="4" t="s">
        <v>422</v>
      </c>
      <c r="K21" s="4" t="s">
        <v>423</v>
      </c>
      <c r="L21" s="5">
        <v>46752</v>
      </c>
      <c r="M21" s="5">
        <v>45709</v>
      </c>
      <c r="N21" s="4" t="s">
        <v>26</v>
      </c>
      <c r="O21" s="4" t="s">
        <v>27</v>
      </c>
      <c r="P21" s="4">
        <v>524</v>
      </c>
      <c r="Q21" s="4">
        <v>2027</v>
      </c>
      <c r="R21" s="4" t="s">
        <v>12</v>
      </c>
    </row>
    <row r="22" spans="9:18" ht="15" customHeight="1" x14ac:dyDescent="0.3">
      <c r="I22" s="2" t="s">
        <v>424</v>
      </c>
      <c r="J22" s="2" t="s">
        <v>425</v>
      </c>
      <c r="K22" s="2" t="s">
        <v>423</v>
      </c>
      <c r="L22" s="3">
        <v>46752</v>
      </c>
      <c r="M22" s="3">
        <v>45709</v>
      </c>
      <c r="N22" s="2" t="s">
        <v>26</v>
      </c>
      <c r="O22" s="2" t="s">
        <v>27</v>
      </c>
      <c r="P22" s="2">
        <v>261.45</v>
      </c>
      <c r="Q22" s="2">
        <v>2027</v>
      </c>
      <c r="R22" s="2" t="s">
        <v>12</v>
      </c>
    </row>
    <row r="23" spans="9:18" ht="15" customHeight="1" x14ac:dyDescent="0.3">
      <c r="I23" s="4" t="s">
        <v>426</v>
      </c>
      <c r="J23" s="4" t="s">
        <v>427</v>
      </c>
      <c r="K23" s="4" t="s">
        <v>20</v>
      </c>
      <c r="L23" s="5">
        <v>46752</v>
      </c>
      <c r="M23" s="5">
        <v>45590</v>
      </c>
      <c r="N23" s="4" t="s">
        <v>26</v>
      </c>
      <c r="O23" s="4" t="s">
        <v>27</v>
      </c>
      <c r="P23" s="4">
        <v>306.60000000000002</v>
      </c>
      <c r="Q23" s="4">
        <v>2027</v>
      </c>
      <c r="R23" s="4" t="s">
        <v>12</v>
      </c>
    </row>
    <row r="24" spans="9:18" ht="15" customHeight="1" x14ac:dyDescent="0.3">
      <c r="I24" s="18" t="s">
        <v>405</v>
      </c>
      <c r="J24" s="18" t="s">
        <v>406</v>
      </c>
      <c r="K24" s="18" t="s">
        <v>224</v>
      </c>
      <c r="L24" s="19">
        <v>46811</v>
      </c>
      <c r="M24" s="19">
        <v>45497</v>
      </c>
      <c r="N24" s="18" t="s">
        <v>26</v>
      </c>
      <c r="O24" s="18" t="s">
        <v>27</v>
      </c>
      <c r="P24" s="18">
        <v>277.38</v>
      </c>
      <c r="Q24" s="18">
        <v>2028</v>
      </c>
      <c r="R24" s="18" t="s">
        <v>12</v>
      </c>
    </row>
    <row r="73" spans="1:34" ht="15" customHeight="1" x14ac:dyDescent="0.3">
      <c r="A73" s="6" t="s">
        <v>39</v>
      </c>
      <c r="B73" s="9" t="s">
        <v>43</v>
      </c>
      <c r="C73" s="9" t="s">
        <v>45</v>
      </c>
      <c r="D73" s="9" t="s">
        <v>15</v>
      </c>
      <c r="E73" s="9" t="s">
        <v>16</v>
      </c>
      <c r="F73" s="9" t="s">
        <v>44</v>
      </c>
    </row>
    <row r="74" spans="1:34" ht="15" customHeight="1" x14ac:dyDescent="0.3">
      <c r="A74" s="7">
        <v>46285</v>
      </c>
      <c r="B74" s="10">
        <f t="shared" ref="B74:B75" si="0">SUM(C74:F74)</f>
        <v>41211.050000000017</v>
      </c>
      <c r="C74" s="10">
        <v>41208.050000000017</v>
      </c>
      <c r="D74" s="10">
        <v>0</v>
      </c>
      <c r="E74" s="10">
        <v>3</v>
      </c>
      <c r="F74" s="10">
        <v>0</v>
      </c>
      <c r="K74" s="12"/>
      <c r="L74" s="12"/>
      <c r="AC74" s="12"/>
      <c r="AD74" s="12"/>
      <c r="AF74" s="12"/>
      <c r="AG74" s="12"/>
      <c r="AH74" s="12"/>
    </row>
    <row r="75" spans="1:34" ht="15" customHeight="1" x14ac:dyDescent="0.3">
      <c r="A75" s="7">
        <v>46315</v>
      </c>
      <c r="B75" s="10">
        <f t="shared" si="0"/>
        <v>41211.050000000017</v>
      </c>
      <c r="C75" s="10">
        <v>41208.050000000017</v>
      </c>
      <c r="D75" s="10">
        <v>0</v>
      </c>
      <c r="E75" s="10">
        <v>3</v>
      </c>
      <c r="F75" s="10">
        <v>0</v>
      </c>
      <c r="AC75" s="12"/>
      <c r="AD75" s="12"/>
      <c r="AF75" s="12"/>
      <c r="AG75" s="12"/>
      <c r="AH75" s="12"/>
    </row>
    <row r="76" spans="1:34" ht="15" customHeight="1" x14ac:dyDescent="0.3">
      <c r="A76" s="7">
        <v>46346</v>
      </c>
      <c r="B76" s="10">
        <f>SUM(C76:F76)</f>
        <v>41211.050000000017</v>
      </c>
      <c r="C76" s="10">
        <v>41208.050000000017</v>
      </c>
      <c r="D76" s="10">
        <v>0</v>
      </c>
      <c r="E76" s="10">
        <v>3</v>
      </c>
      <c r="F76" s="10">
        <v>0</v>
      </c>
      <c r="AC76" s="12"/>
      <c r="AD76" s="12"/>
      <c r="AF76" s="12"/>
      <c r="AG76" s="12"/>
      <c r="AH76" s="12"/>
    </row>
    <row r="77" spans="1:34" ht="15" customHeight="1" x14ac:dyDescent="0.3">
      <c r="A77" s="7">
        <v>46376</v>
      </c>
      <c r="B77" s="10">
        <f t="shared" ref="B77:B78" si="1">SUM(C77:F77)</f>
        <v>41703.360000000015</v>
      </c>
      <c r="C77" s="10">
        <v>41208.050000000017</v>
      </c>
      <c r="D77" s="10">
        <v>0</v>
      </c>
      <c r="E77" s="10">
        <v>495.31</v>
      </c>
      <c r="F77" s="10">
        <v>0</v>
      </c>
      <c r="AC77" s="12"/>
      <c r="AD77" s="12"/>
      <c r="AF77" s="12"/>
      <c r="AG77" s="12"/>
      <c r="AH77" s="12"/>
    </row>
    <row r="78" spans="1:34" ht="15" customHeight="1" x14ac:dyDescent="0.3">
      <c r="A78" s="7">
        <v>46407</v>
      </c>
      <c r="B78" s="10">
        <f t="shared" si="1"/>
        <v>41703.360000000015</v>
      </c>
      <c r="C78" s="10">
        <v>41208.050000000017</v>
      </c>
      <c r="D78" s="10">
        <v>0</v>
      </c>
      <c r="E78" s="10">
        <v>495.31</v>
      </c>
      <c r="F78" s="10">
        <v>0</v>
      </c>
      <c r="AC78" s="12"/>
      <c r="AD78" s="12"/>
      <c r="AF78" s="12"/>
      <c r="AG78" s="12"/>
      <c r="AH78" s="12"/>
    </row>
    <row r="79" spans="1:34" ht="15" customHeight="1" x14ac:dyDescent="0.3">
      <c r="A79" s="7">
        <v>46438</v>
      </c>
      <c r="B79" s="10">
        <f>SUM(C79:F79)</f>
        <v>42223.530000000013</v>
      </c>
      <c r="C79" s="10">
        <v>41208.050000000017</v>
      </c>
      <c r="D79" s="10">
        <v>520.17000000000007</v>
      </c>
      <c r="E79" s="10">
        <v>495.31</v>
      </c>
      <c r="F79" s="10">
        <v>0</v>
      </c>
      <c r="AC79" s="12"/>
      <c r="AD79" s="12"/>
      <c r="AF79" s="12"/>
      <c r="AG79" s="12"/>
      <c r="AH79" s="12"/>
    </row>
    <row r="80" spans="1:34" ht="15" customHeight="1" x14ac:dyDescent="0.3">
      <c r="A80" s="7">
        <v>46466</v>
      </c>
      <c r="B80" s="10">
        <f>SUM(C80:F80)</f>
        <v>42788.730000000018</v>
      </c>
      <c r="C80" s="10">
        <v>41208.050000000017</v>
      </c>
      <c r="D80" s="10">
        <v>1085.3700000000001</v>
      </c>
      <c r="E80" s="10">
        <v>495.31</v>
      </c>
      <c r="F80" s="10">
        <v>0</v>
      </c>
      <c r="AC80" s="12"/>
      <c r="AD80" s="12"/>
      <c r="AF80" s="12"/>
      <c r="AG80" s="12"/>
      <c r="AH80" s="12"/>
    </row>
    <row r="81" spans="1:34" ht="15" customHeight="1" x14ac:dyDescent="0.3">
      <c r="A81" s="7">
        <v>46497</v>
      </c>
      <c r="B81" s="10">
        <f t="shared" ref="B81:B91" si="2">SUM(C81:F81)</f>
        <v>42788.730000000018</v>
      </c>
      <c r="C81" s="10">
        <v>41208.050000000017</v>
      </c>
      <c r="D81" s="10">
        <v>1085.3700000000001</v>
      </c>
      <c r="E81" s="10">
        <v>495.31</v>
      </c>
      <c r="F81" s="10">
        <v>0</v>
      </c>
      <c r="AC81" s="12"/>
      <c r="AD81" s="12"/>
      <c r="AF81" s="12"/>
      <c r="AG81" s="12"/>
      <c r="AH81" s="12"/>
    </row>
    <row r="82" spans="1:34" ht="15" customHeight="1" x14ac:dyDescent="0.3">
      <c r="A82" s="7">
        <v>46527</v>
      </c>
      <c r="B82" s="10">
        <f t="shared" si="2"/>
        <v>42788.730000000018</v>
      </c>
      <c r="C82" s="10">
        <v>41208.050000000017</v>
      </c>
      <c r="D82" s="10">
        <v>1085.3700000000001</v>
      </c>
      <c r="E82" s="10">
        <v>495.31</v>
      </c>
      <c r="F82" s="10">
        <v>0</v>
      </c>
      <c r="AC82" s="12"/>
      <c r="AD82" s="12"/>
      <c r="AF82" s="12"/>
      <c r="AG82" s="12"/>
      <c r="AH82" s="12"/>
    </row>
    <row r="83" spans="1:34" ht="15" customHeight="1" x14ac:dyDescent="0.3">
      <c r="A83" s="7">
        <v>46558</v>
      </c>
      <c r="B83" s="10">
        <f t="shared" si="2"/>
        <v>43302.330000000016</v>
      </c>
      <c r="C83" s="10">
        <v>41208.050000000017</v>
      </c>
      <c r="D83" s="10">
        <v>1346.4700000000003</v>
      </c>
      <c r="E83" s="10">
        <v>747.81</v>
      </c>
      <c r="F83" s="10">
        <v>0</v>
      </c>
      <c r="AC83" s="12"/>
      <c r="AD83" s="12"/>
      <c r="AF83" s="12"/>
      <c r="AG83" s="12"/>
      <c r="AH83" s="12"/>
    </row>
    <row r="84" spans="1:34" ht="15" customHeight="1" x14ac:dyDescent="0.3">
      <c r="A84" s="7">
        <v>46588</v>
      </c>
      <c r="B84" s="10">
        <f t="shared" si="2"/>
        <v>43524.930000000015</v>
      </c>
      <c r="C84" s="10">
        <v>41208.050000000017</v>
      </c>
      <c r="D84" s="10">
        <v>1569.0700000000002</v>
      </c>
      <c r="E84" s="10">
        <v>747.81</v>
      </c>
      <c r="F84" s="10">
        <v>0</v>
      </c>
      <c r="AC84" s="12"/>
      <c r="AD84" s="12"/>
      <c r="AF84" s="12"/>
      <c r="AG84" s="12"/>
      <c r="AH84" s="12"/>
    </row>
    <row r="85" spans="1:34" ht="15" customHeight="1" x14ac:dyDescent="0.3">
      <c r="A85" s="7">
        <v>46619</v>
      </c>
      <c r="B85" s="10">
        <f t="shared" si="2"/>
        <v>43524.930000000015</v>
      </c>
      <c r="C85" s="10">
        <v>41208.050000000017</v>
      </c>
      <c r="D85" s="10">
        <v>1569.0700000000002</v>
      </c>
      <c r="E85" s="10">
        <v>747.81</v>
      </c>
      <c r="F85" s="10">
        <v>0</v>
      </c>
      <c r="AC85" s="12"/>
      <c r="AD85" s="12"/>
      <c r="AF85" s="12"/>
      <c r="AG85" s="12"/>
      <c r="AH85" s="12"/>
    </row>
    <row r="86" spans="1:34" ht="15" customHeight="1" x14ac:dyDescent="0.3">
      <c r="A86" s="7">
        <v>46650</v>
      </c>
      <c r="B86" s="10">
        <f t="shared" si="2"/>
        <v>43808.330000000016</v>
      </c>
      <c r="C86" s="10">
        <v>41208.050000000017</v>
      </c>
      <c r="D86" s="10">
        <v>1852.4700000000003</v>
      </c>
      <c r="E86" s="10">
        <v>747.81</v>
      </c>
      <c r="F86" s="10">
        <v>0</v>
      </c>
      <c r="AC86" s="12"/>
      <c r="AD86" s="12"/>
      <c r="AF86" s="12"/>
      <c r="AG86" s="12"/>
      <c r="AH86" s="12"/>
    </row>
    <row r="87" spans="1:34" ht="15" customHeight="1" x14ac:dyDescent="0.3">
      <c r="A87" s="7">
        <v>46680</v>
      </c>
      <c r="B87" s="10">
        <f t="shared" si="2"/>
        <v>44010.660000000018</v>
      </c>
      <c r="C87" s="10">
        <v>41208.050000000017</v>
      </c>
      <c r="D87" s="10">
        <v>1852.4700000000003</v>
      </c>
      <c r="E87" s="10">
        <v>950.14</v>
      </c>
      <c r="F87" s="10">
        <v>0</v>
      </c>
      <c r="AC87" s="12"/>
      <c r="AD87" s="12"/>
      <c r="AF87" s="12"/>
      <c r="AG87" s="12"/>
      <c r="AH87" s="12"/>
    </row>
    <row r="88" spans="1:34" ht="15" customHeight="1" x14ac:dyDescent="0.3">
      <c r="A88" s="7">
        <v>46711</v>
      </c>
      <c r="B88" s="10">
        <f t="shared" si="2"/>
        <v>44010.660000000018</v>
      </c>
      <c r="C88" s="10">
        <v>41208.050000000017</v>
      </c>
      <c r="D88" s="10">
        <v>1852.4700000000003</v>
      </c>
      <c r="E88" s="10">
        <v>950.14</v>
      </c>
      <c r="F88" s="10">
        <v>0</v>
      </c>
      <c r="AC88" s="12"/>
      <c r="AD88" s="12"/>
      <c r="AF88" s="12"/>
      <c r="AG88" s="12"/>
      <c r="AH88" s="12"/>
    </row>
    <row r="89" spans="1:34" ht="15" customHeight="1" x14ac:dyDescent="0.3">
      <c r="A89" s="7">
        <v>46741</v>
      </c>
      <c r="B89" s="10">
        <f t="shared" si="2"/>
        <v>46216.200000000019</v>
      </c>
      <c r="C89" s="10">
        <v>41208.050000000017</v>
      </c>
      <c r="D89" s="10">
        <v>4058.0099999999998</v>
      </c>
      <c r="E89" s="10">
        <v>950.14</v>
      </c>
      <c r="F89" s="10">
        <v>0</v>
      </c>
      <c r="AC89" s="12"/>
      <c r="AD89" s="12"/>
      <c r="AF89" s="12"/>
      <c r="AG89" s="12"/>
      <c r="AH89" s="12"/>
    </row>
    <row r="90" spans="1:34" ht="15" customHeight="1" x14ac:dyDescent="0.3">
      <c r="A90" s="7">
        <v>46772</v>
      </c>
      <c r="B90" s="10">
        <f t="shared" si="2"/>
        <v>46216.200000000019</v>
      </c>
      <c r="C90" s="10">
        <v>41208.050000000017</v>
      </c>
      <c r="D90" s="10">
        <v>4058.0099999999998</v>
      </c>
      <c r="E90" s="10">
        <v>950.14</v>
      </c>
      <c r="F90" s="10">
        <v>0</v>
      </c>
      <c r="AC90" s="12"/>
      <c r="AD90" s="12"/>
      <c r="AF90" s="12"/>
      <c r="AG90" s="12"/>
      <c r="AH90" s="12"/>
    </row>
    <row r="91" spans="1:34" ht="15" customHeight="1" x14ac:dyDescent="0.3">
      <c r="A91" s="7">
        <v>46803</v>
      </c>
      <c r="B91" s="10">
        <f t="shared" si="2"/>
        <v>46493.580000000016</v>
      </c>
      <c r="C91" s="10">
        <v>41208.050000000017</v>
      </c>
      <c r="D91" s="10">
        <v>4335.3899999999994</v>
      </c>
      <c r="E91" s="10">
        <v>950.14</v>
      </c>
      <c r="F91" s="10">
        <v>0</v>
      </c>
      <c r="AC91" s="12"/>
      <c r="AD91" s="12"/>
      <c r="AF91" s="12"/>
      <c r="AG91" s="12"/>
      <c r="AH91" s="12"/>
    </row>
    <row r="105" spans="1:6" ht="15" customHeight="1" x14ac:dyDescent="0.3">
      <c r="A105" s="7"/>
      <c r="B105" s="10"/>
      <c r="C105" s="10"/>
      <c r="D105" s="10"/>
      <c r="E105" s="10"/>
      <c r="F105" s="10"/>
    </row>
    <row r="106" spans="1:6" ht="15" customHeight="1" x14ac:dyDescent="0.3">
      <c r="A106" s="7"/>
      <c r="B106" s="10"/>
      <c r="C106" s="10"/>
      <c r="D106" s="10"/>
      <c r="E106" s="10"/>
      <c r="F106" s="10"/>
    </row>
    <row r="107" spans="1:6" ht="15" customHeight="1" x14ac:dyDescent="0.3">
      <c r="A107" s="7"/>
      <c r="B107" s="10"/>
      <c r="C107" s="10"/>
      <c r="D107" s="10"/>
      <c r="E107" s="10"/>
      <c r="F107" s="10"/>
    </row>
    <row r="108" spans="1:6" ht="15" customHeight="1" x14ac:dyDescent="0.3">
      <c r="A108" s="7"/>
      <c r="B108" s="10"/>
      <c r="C108" s="10"/>
      <c r="D108" s="10"/>
      <c r="E108" s="10"/>
      <c r="F108" s="10"/>
    </row>
    <row r="109" spans="1:6" ht="15" customHeight="1" x14ac:dyDescent="0.3">
      <c r="A109" s="7"/>
      <c r="B109" s="10"/>
      <c r="C109" s="10"/>
      <c r="D109" s="10"/>
      <c r="E109" s="10"/>
      <c r="F109" s="10"/>
    </row>
    <row r="110" spans="1:6" ht="15" customHeight="1" x14ac:dyDescent="0.3">
      <c r="A110" s="7"/>
      <c r="B110" s="10"/>
      <c r="C110" s="10"/>
      <c r="D110" s="10"/>
      <c r="E110" s="10"/>
      <c r="F110" s="10"/>
    </row>
    <row r="111" spans="1:6" ht="15" customHeight="1" x14ac:dyDescent="0.3">
      <c r="A111" s="7"/>
      <c r="B111" s="10"/>
      <c r="C111" s="10"/>
      <c r="D111" s="10"/>
      <c r="E111" s="10"/>
      <c r="F111" s="10"/>
    </row>
    <row r="112" spans="1:6" ht="15" customHeight="1" x14ac:dyDescent="0.3">
      <c r="A112" s="7"/>
      <c r="B112" s="10"/>
      <c r="C112" s="10"/>
      <c r="D112" s="10"/>
      <c r="E112" s="10"/>
      <c r="F112" s="10"/>
    </row>
    <row r="113" spans="1:6" ht="15" customHeight="1" x14ac:dyDescent="0.3">
      <c r="A113" s="7"/>
      <c r="B113" s="10"/>
      <c r="C113" s="10"/>
      <c r="D113" s="10"/>
      <c r="E113" s="10"/>
      <c r="F113" s="10"/>
    </row>
    <row r="114" spans="1:6" ht="15" customHeight="1" x14ac:dyDescent="0.3">
      <c r="A114" s="7"/>
      <c r="B114" s="10"/>
      <c r="C114" s="10"/>
      <c r="D114" s="10"/>
      <c r="E114" s="10"/>
      <c r="F114" s="10"/>
    </row>
    <row r="115" spans="1:6" ht="15" customHeight="1" x14ac:dyDescent="0.3">
      <c r="A115" s="7"/>
      <c r="B115" s="10"/>
      <c r="C115" s="10"/>
      <c r="D115" s="10"/>
      <c r="E115" s="10"/>
      <c r="F115" s="10"/>
    </row>
    <row r="116" spans="1:6" ht="15" customHeight="1" x14ac:dyDescent="0.3">
      <c r="A116" s="7"/>
      <c r="B116" s="10"/>
      <c r="C116" s="10"/>
      <c r="D116" s="10"/>
      <c r="E116" s="10"/>
      <c r="F116" s="10"/>
    </row>
    <row r="117" spans="1:6" ht="15" customHeight="1" x14ac:dyDescent="0.3">
      <c r="A117" s="7"/>
      <c r="B117" s="10"/>
      <c r="C117" s="10"/>
      <c r="D117" s="10"/>
      <c r="E117" s="10"/>
      <c r="F117" s="10"/>
    </row>
    <row r="118" spans="1:6" ht="15" customHeight="1" x14ac:dyDescent="0.3">
      <c r="A118" s="7"/>
      <c r="B118" s="10"/>
      <c r="C118" s="10"/>
      <c r="D118" s="10"/>
      <c r="E118" s="10"/>
      <c r="F118" s="10"/>
    </row>
    <row r="119" spans="1:6" ht="15" customHeight="1" x14ac:dyDescent="0.3">
      <c r="A119" s="7"/>
      <c r="B119" s="10"/>
      <c r="C119" s="10"/>
      <c r="D119" s="10"/>
      <c r="E119" s="10"/>
      <c r="F119" s="10"/>
    </row>
    <row r="120" spans="1:6" ht="15" customHeight="1" x14ac:dyDescent="0.3">
      <c r="A120" s="7"/>
      <c r="B120" s="10"/>
      <c r="C120" s="10"/>
      <c r="D120" s="10"/>
      <c r="E120" s="10"/>
      <c r="F120" s="10"/>
    </row>
    <row r="121" spans="1:6" ht="15" customHeight="1" x14ac:dyDescent="0.3">
      <c r="A121" s="7"/>
      <c r="B121" s="10"/>
      <c r="C121" s="10"/>
      <c r="D121" s="10"/>
      <c r="E121" s="10"/>
      <c r="F121" s="10"/>
    </row>
    <row r="122" spans="1:6" ht="15" customHeight="1" x14ac:dyDescent="0.3">
      <c r="A122" s="7"/>
      <c r="B122" s="10"/>
      <c r="C122" s="10"/>
      <c r="D122" s="10"/>
      <c r="E122" s="10"/>
      <c r="F122" s="10"/>
    </row>
    <row r="123" spans="1:6" ht="15" customHeight="1" x14ac:dyDescent="0.3">
      <c r="B123" s="11"/>
      <c r="C123" s="11"/>
      <c r="D123" s="11"/>
      <c r="E123" s="11"/>
      <c r="F123" s="11"/>
    </row>
    <row r="124" spans="1:6" ht="15" customHeight="1" x14ac:dyDescent="0.3">
      <c r="B124" s="11"/>
      <c r="C124" s="11"/>
      <c r="D124" s="11"/>
      <c r="E124" s="11"/>
      <c r="F124" s="11"/>
    </row>
    <row r="125" spans="1:6" ht="15" customHeight="1" x14ac:dyDescent="0.3">
      <c r="B125" s="13"/>
      <c r="C125" s="13"/>
      <c r="D125" s="13"/>
      <c r="E125" s="13"/>
      <c r="F125" s="13"/>
    </row>
    <row r="126" spans="1:6" ht="15" customHeight="1" x14ac:dyDescent="0.3">
      <c r="B126" s="13"/>
      <c r="C126" s="13"/>
      <c r="D126" s="13"/>
      <c r="E126" s="13"/>
      <c r="F126" s="13"/>
    </row>
    <row r="127" spans="1:6" ht="15" customHeight="1" x14ac:dyDescent="0.3">
      <c r="B127" s="13"/>
      <c r="C127" s="13"/>
      <c r="D127" s="13"/>
      <c r="E127" s="13"/>
      <c r="F127" s="13"/>
    </row>
    <row r="128" spans="1:6" ht="15" customHeight="1" x14ac:dyDescent="0.3">
      <c r="B128" s="13"/>
      <c r="C128" s="13"/>
      <c r="D128" s="13"/>
      <c r="E128" s="13"/>
      <c r="F128" s="13"/>
    </row>
    <row r="129" spans="2:7" ht="15" customHeight="1" x14ac:dyDescent="0.3">
      <c r="B129" s="13"/>
      <c r="C129" s="13"/>
      <c r="D129" s="13"/>
      <c r="E129" s="13"/>
      <c r="F129" s="13"/>
    </row>
    <row r="130" spans="2:7" ht="15" customHeight="1" x14ac:dyDescent="0.3">
      <c r="B130" s="13"/>
      <c r="C130" s="13"/>
      <c r="D130" s="13"/>
      <c r="E130" s="13"/>
      <c r="F130" s="13"/>
    </row>
    <row r="131" spans="2:7" ht="15" customHeight="1" x14ac:dyDescent="0.3">
      <c r="B131" s="13"/>
      <c r="C131" s="13"/>
      <c r="D131" s="13"/>
      <c r="E131" s="13"/>
      <c r="F131" s="13"/>
    </row>
    <row r="132" spans="2:7" ht="15" customHeight="1" x14ac:dyDescent="0.3">
      <c r="B132" s="13"/>
      <c r="C132" s="13"/>
      <c r="D132" s="13"/>
      <c r="E132" s="13"/>
      <c r="F132" s="13"/>
    </row>
    <row r="133" spans="2:7" ht="15" customHeight="1" x14ac:dyDescent="0.3">
      <c r="B133" s="13"/>
      <c r="C133" s="13"/>
      <c r="D133" s="13"/>
      <c r="E133" s="13"/>
      <c r="F133" s="13"/>
    </row>
    <row r="134" spans="2:7" ht="15" customHeight="1" x14ac:dyDescent="0.3">
      <c r="B134" s="13"/>
      <c r="C134" s="13"/>
      <c r="D134" s="13"/>
      <c r="E134" s="13"/>
      <c r="F134" s="13"/>
    </row>
    <row r="135" spans="2:7" ht="15" customHeight="1" x14ac:dyDescent="0.3">
      <c r="B135" s="13"/>
      <c r="C135" s="13"/>
      <c r="D135" s="13"/>
      <c r="E135" s="13"/>
      <c r="F135" s="13"/>
    </row>
    <row r="136" spans="2:7" ht="15" customHeight="1" x14ac:dyDescent="0.3">
      <c r="B136" s="13"/>
      <c r="C136" s="13"/>
      <c r="D136" s="13"/>
      <c r="E136" s="13"/>
      <c r="F136" s="13"/>
    </row>
    <row r="137" spans="2:7" ht="15" customHeight="1" x14ac:dyDescent="0.3">
      <c r="B137" s="13"/>
      <c r="C137" s="13"/>
      <c r="D137" s="13"/>
      <c r="E137" s="13"/>
      <c r="F137" s="13"/>
    </row>
    <row r="138" spans="2:7" ht="15" customHeight="1" x14ac:dyDescent="0.3">
      <c r="B138" s="13"/>
      <c r="C138" s="13"/>
      <c r="D138" s="13"/>
      <c r="E138" s="13"/>
      <c r="F138" s="13"/>
    </row>
    <row r="139" spans="2:7" ht="15" customHeight="1" x14ac:dyDescent="0.3">
      <c r="B139" s="13"/>
      <c r="C139" s="13"/>
      <c r="D139" s="13"/>
      <c r="E139" s="13"/>
      <c r="F139" s="13"/>
    </row>
    <row r="140" spans="2:7" ht="15" customHeight="1" x14ac:dyDescent="0.3">
      <c r="B140" s="13"/>
      <c r="C140" s="13"/>
      <c r="D140" s="13"/>
      <c r="E140" s="13"/>
      <c r="F140" s="13"/>
    </row>
    <row r="141" spans="2:7" ht="15" customHeight="1" x14ac:dyDescent="0.3">
      <c r="B141" s="13"/>
      <c r="C141" s="13"/>
      <c r="D141" s="13"/>
      <c r="E141" s="13"/>
      <c r="F141" s="13"/>
    </row>
    <row r="142" spans="2:7" ht="15" customHeight="1" x14ac:dyDescent="0.3">
      <c r="B142" s="13"/>
      <c r="C142" s="13"/>
      <c r="D142" s="13"/>
      <c r="E142" s="13"/>
      <c r="F142" s="13"/>
    </row>
    <row r="143" spans="2:7" ht="15" customHeight="1" x14ac:dyDescent="0.3">
      <c r="B143" s="11"/>
      <c r="C143" s="11"/>
      <c r="D143" s="11"/>
      <c r="E143" s="11"/>
      <c r="F143" s="11"/>
      <c r="G143" s="11"/>
    </row>
    <row r="144" spans="2:7" ht="15" customHeight="1" x14ac:dyDescent="0.3">
      <c r="B144" s="11"/>
      <c r="C144" s="11"/>
      <c r="D144" s="11"/>
      <c r="E144" s="11"/>
      <c r="F144" s="11"/>
      <c r="G144" s="11"/>
    </row>
    <row r="145" spans="2:7" ht="15" customHeight="1" x14ac:dyDescent="0.3">
      <c r="B145" s="11"/>
      <c r="C145" s="11"/>
      <c r="D145" s="11"/>
      <c r="E145" s="11"/>
      <c r="F145" s="11"/>
      <c r="G145" s="11"/>
    </row>
    <row r="147" spans="2:7" ht="15" customHeight="1" x14ac:dyDescent="0.3">
      <c r="F147" s="12"/>
      <c r="G147" s="12"/>
    </row>
    <row r="148" spans="2:7" ht="15" customHeight="1" x14ac:dyDescent="0.3">
      <c r="F148" s="12"/>
      <c r="G148" s="12"/>
    </row>
    <row r="149" spans="2:7" ht="15" customHeight="1" x14ac:dyDescent="0.3">
      <c r="F149" s="12"/>
      <c r="G149" s="12"/>
    </row>
    <row r="150" spans="2:7" ht="15" customHeight="1" x14ac:dyDescent="0.3">
      <c r="F150" s="12"/>
      <c r="G150" s="12"/>
    </row>
    <row r="151" spans="2:7" ht="15" customHeight="1" x14ac:dyDescent="0.3">
      <c r="F151" s="12"/>
      <c r="G151" s="12"/>
    </row>
    <row r="152" spans="2:7" ht="15" customHeight="1" x14ac:dyDescent="0.3">
      <c r="F152" s="12"/>
      <c r="G152" s="12"/>
    </row>
    <row r="153" spans="2:7" ht="15" customHeight="1" x14ac:dyDescent="0.3">
      <c r="F153" s="12"/>
      <c r="G153" s="12"/>
    </row>
    <row r="154" spans="2:7" ht="15" customHeight="1" x14ac:dyDescent="0.3">
      <c r="F154" s="12"/>
      <c r="G154" s="12"/>
    </row>
    <row r="155" spans="2:7" ht="15" customHeight="1" x14ac:dyDescent="0.3">
      <c r="F155" s="12"/>
      <c r="G155" s="12"/>
    </row>
    <row r="156" spans="2:7" ht="15" customHeight="1" x14ac:dyDescent="0.3">
      <c r="F156" s="12"/>
      <c r="G156" s="12"/>
    </row>
    <row r="157" spans="2:7" ht="15" customHeight="1" x14ac:dyDescent="0.3">
      <c r="F157" s="12"/>
      <c r="G157" s="12"/>
    </row>
    <row r="158" spans="2:7" ht="15" customHeight="1" x14ac:dyDescent="0.3">
      <c r="F158" s="12"/>
      <c r="G158" s="12"/>
    </row>
    <row r="159" spans="2:7" ht="15" customHeight="1" x14ac:dyDescent="0.3">
      <c r="F159" s="12"/>
      <c r="G159" s="12"/>
    </row>
    <row r="160" spans="2:7" ht="15" customHeight="1" x14ac:dyDescent="0.3">
      <c r="F160" s="12"/>
      <c r="G160" s="12"/>
    </row>
    <row r="161" spans="6:7" ht="15" customHeight="1" x14ac:dyDescent="0.3">
      <c r="F161" s="12"/>
      <c r="G161" s="12"/>
    </row>
    <row r="162" spans="6:7" ht="15" customHeight="1" x14ac:dyDescent="0.3">
      <c r="F162" s="12"/>
      <c r="G162" s="12"/>
    </row>
    <row r="163" spans="6:7" ht="15" customHeight="1" x14ac:dyDescent="0.3">
      <c r="F163" s="12"/>
      <c r="G163" s="12"/>
    </row>
    <row r="164" spans="6:7" ht="15" customHeight="1" x14ac:dyDescent="0.3">
      <c r="F164" s="12"/>
      <c r="G164" s="12"/>
    </row>
  </sheetData>
  <pageMargins left="0.7" right="0.7" top="0.75" bottom="0.75" header="0.3" footer="0.3"/>
  <pageSetup paperSize="3" scale="4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7">
    <tabColor theme="4"/>
  </sheetPr>
  <dimension ref="A1:AG188"/>
  <sheetViews>
    <sheetView showGridLines="0" zoomScale="80" zoomScaleNormal="80" workbookViewId="0">
      <selection activeCell="G1" sqref="G1"/>
    </sheetView>
  </sheetViews>
  <sheetFormatPr defaultRowHeight="15" customHeight="1" x14ac:dyDescent="0.3"/>
  <cols>
    <col min="1" max="1" width="11.33203125" bestFit="1" customWidth="1"/>
    <col min="2" max="2" width="47.44140625" bestFit="1" customWidth="1"/>
    <col min="3" max="3" width="26.6640625" bestFit="1" customWidth="1"/>
    <col min="4" max="4" width="38.6640625" customWidth="1"/>
    <col min="5" max="5" width="38.109375" bestFit="1" customWidth="1"/>
    <col min="6" max="6" width="27.44140625" bestFit="1" customWidth="1"/>
    <col min="7" max="7" width="15.44140625" customWidth="1"/>
    <col min="9" max="9" width="10.6640625" bestFit="1" customWidth="1"/>
    <col min="10" max="10" width="28.77734375" bestFit="1" customWidth="1"/>
    <col min="11" max="11" width="13.88671875" bestFit="1" customWidth="1"/>
    <col min="12" max="12" width="13.44140625" bestFit="1" customWidth="1"/>
    <col min="13" max="13" width="11.21875" bestFit="1" customWidth="1"/>
    <col min="14" max="14" width="6.109375" bestFit="1" customWidth="1"/>
    <col min="15" max="15" width="11" bestFit="1" customWidth="1"/>
    <col min="16" max="16" width="14.109375" bestFit="1" customWidth="1"/>
    <col min="17" max="17" width="5.44140625" bestFit="1" customWidth="1"/>
    <col min="18" max="18" width="16.5546875" bestFit="1" customWidth="1"/>
  </cols>
  <sheetData>
    <row r="1" spans="9:18" ht="15" customHeight="1" x14ac:dyDescent="0.3">
      <c r="I1" s="1" t="s">
        <v>0</v>
      </c>
      <c r="J1" s="1" t="s">
        <v>1</v>
      </c>
      <c r="K1" s="1" t="s">
        <v>2</v>
      </c>
      <c r="L1" s="1" t="s">
        <v>3</v>
      </c>
      <c r="M1" s="1" t="s">
        <v>4</v>
      </c>
      <c r="N1" s="1" t="s">
        <v>5</v>
      </c>
      <c r="O1" s="1" t="s">
        <v>6</v>
      </c>
      <c r="P1" s="1" t="s">
        <v>7</v>
      </c>
      <c r="Q1" s="1" t="s">
        <v>8</v>
      </c>
      <c r="R1" s="1" t="s">
        <v>9</v>
      </c>
    </row>
    <row r="2" spans="9:18" ht="17.399999999999999" customHeight="1" x14ac:dyDescent="0.3">
      <c r="I2" s="2" t="s">
        <v>73</v>
      </c>
      <c r="J2" s="2" t="s">
        <v>74</v>
      </c>
      <c r="K2" s="2" t="s">
        <v>70</v>
      </c>
      <c r="L2" s="3">
        <v>46248</v>
      </c>
      <c r="M2" s="3">
        <v>43993</v>
      </c>
      <c r="N2" s="2" t="s">
        <v>21</v>
      </c>
      <c r="O2" s="2" t="s">
        <v>22</v>
      </c>
      <c r="P2" s="2">
        <v>50</v>
      </c>
      <c r="Q2" s="2">
        <v>2026</v>
      </c>
      <c r="R2" s="2" t="s">
        <v>12</v>
      </c>
    </row>
    <row r="3" spans="9:18" ht="15" customHeight="1" x14ac:dyDescent="0.3">
      <c r="I3" s="4" t="s">
        <v>121</v>
      </c>
      <c r="J3" s="4" t="s">
        <v>122</v>
      </c>
      <c r="K3" s="4" t="s">
        <v>123</v>
      </c>
      <c r="L3" s="5">
        <v>46356</v>
      </c>
      <c r="M3" s="5">
        <v>43697</v>
      </c>
      <c r="N3" s="4" t="s">
        <v>21</v>
      </c>
      <c r="O3" s="4" t="s">
        <v>22</v>
      </c>
      <c r="P3" s="4">
        <v>200</v>
      </c>
      <c r="Q3" s="4">
        <v>2026</v>
      </c>
      <c r="R3" s="4" t="s">
        <v>12</v>
      </c>
    </row>
    <row r="4" spans="9:18" ht="15" customHeight="1" x14ac:dyDescent="0.3">
      <c r="I4" s="2" t="s">
        <v>89</v>
      </c>
      <c r="J4" s="2" t="s">
        <v>116</v>
      </c>
      <c r="K4" s="2" t="s">
        <v>90</v>
      </c>
      <c r="L4" s="3">
        <v>46387</v>
      </c>
      <c r="M4" s="3">
        <v>45225</v>
      </c>
      <c r="N4" s="2" t="s">
        <v>21</v>
      </c>
      <c r="O4" s="2" t="s">
        <v>22</v>
      </c>
      <c r="P4" s="2">
        <v>180.87</v>
      </c>
      <c r="Q4" s="2">
        <v>2026</v>
      </c>
      <c r="R4" s="2" t="s">
        <v>12</v>
      </c>
    </row>
    <row r="5" spans="9:18" ht="15" customHeight="1" x14ac:dyDescent="0.3">
      <c r="I5" s="4" t="s">
        <v>124</v>
      </c>
      <c r="J5" s="4" t="s">
        <v>125</v>
      </c>
      <c r="K5" s="4" t="s">
        <v>10</v>
      </c>
      <c r="L5" s="5">
        <v>46387</v>
      </c>
      <c r="M5" s="5">
        <v>44229</v>
      </c>
      <c r="N5" s="4" t="s">
        <v>21</v>
      </c>
      <c r="O5" s="4" t="s">
        <v>22</v>
      </c>
      <c r="P5" s="4">
        <v>150.47999999999999</v>
      </c>
      <c r="Q5" s="4">
        <v>2026</v>
      </c>
      <c r="R5" s="4" t="s">
        <v>12</v>
      </c>
    </row>
    <row r="6" spans="9:18" ht="15" customHeight="1" x14ac:dyDescent="0.3">
      <c r="I6" s="2" t="s">
        <v>77</v>
      </c>
      <c r="J6" s="2" t="s">
        <v>108</v>
      </c>
      <c r="K6" s="2" t="s">
        <v>29</v>
      </c>
      <c r="L6" s="3">
        <v>46415</v>
      </c>
      <c r="M6" s="3">
        <v>45167</v>
      </c>
      <c r="N6" s="2" t="s">
        <v>21</v>
      </c>
      <c r="O6" s="2" t="s">
        <v>22</v>
      </c>
      <c r="P6" s="2">
        <v>417.47</v>
      </c>
      <c r="Q6" s="2">
        <v>2027</v>
      </c>
      <c r="R6" s="2" t="s">
        <v>12</v>
      </c>
    </row>
    <row r="7" spans="9:18" ht="15" customHeight="1" x14ac:dyDescent="0.3">
      <c r="I7" s="4" t="s">
        <v>101</v>
      </c>
      <c r="J7" s="4" t="s">
        <v>102</v>
      </c>
      <c r="K7" s="4" t="s">
        <v>103</v>
      </c>
      <c r="L7" s="5">
        <v>46416</v>
      </c>
      <c r="M7" s="5">
        <v>44428</v>
      </c>
      <c r="N7" s="4" t="s">
        <v>21</v>
      </c>
      <c r="O7" s="4" t="s">
        <v>22</v>
      </c>
      <c r="P7" s="4">
        <v>198.43</v>
      </c>
      <c r="Q7" s="4">
        <v>2027</v>
      </c>
      <c r="R7" s="4" t="s">
        <v>11</v>
      </c>
    </row>
    <row r="8" spans="9:18" ht="15" customHeight="1" x14ac:dyDescent="0.3">
      <c r="I8" s="2" t="s">
        <v>230</v>
      </c>
      <c r="J8" s="2" t="s">
        <v>231</v>
      </c>
      <c r="K8" s="2" t="s">
        <v>66</v>
      </c>
      <c r="L8" s="3">
        <v>46444</v>
      </c>
      <c r="M8" s="3">
        <v>45595</v>
      </c>
      <c r="N8" s="2" t="s">
        <v>21</v>
      </c>
      <c r="O8" s="2" t="s">
        <v>22</v>
      </c>
      <c r="P8" s="2">
        <v>250.9</v>
      </c>
      <c r="Q8" s="2">
        <v>2027</v>
      </c>
      <c r="R8" s="2" t="s">
        <v>12</v>
      </c>
    </row>
    <row r="9" spans="9:18" ht="15" customHeight="1" x14ac:dyDescent="0.3">
      <c r="I9" s="4" t="s">
        <v>247</v>
      </c>
      <c r="J9" s="4" t="s">
        <v>248</v>
      </c>
      <c r="K9" s="4" t="s">
        <v>66</v>
      </c>
      <c r="L9" s="5">
        <v>46444</v>
      </c>
      <c r="M9" s="5">
        <v>45588</v>
      </c>
      <c r="N9" s="4" t="s">
        <v>21</v>
      </c>
      <c r="O9" s="4" t="s">
        <v>22</v>
      </c>
      <c r="P9" s="4">
        <v>351.1</v>
      </c>
      <c r="Q9" s="4">
        <v>2027</v>
      </c>
      <c r="R9" s="4" t="s">
        <v>12</v>
      </c>
    </row>
    <row r="10" spans="9:18" ht="15" customHeight="1" x14ac:dyDescent="0.3">
      <c r="I10" s="2" t="s">
        <v>67</v>
      </c>
      <c r="J10" s="2" t="s">
        <v>75</v>
      </c>
      <c r="K10" s="2" t="s">
        <v>64</v>
      </c>
      <c r="L10" s="3">
        <v>46445</v>
      </c>
      <c r="M10" s="3">
        <v>45047</v>
      </c>
      <c r="N10" s="2" t="s">
        <v>21</v>
      </c>
      <c r="O10" s="2" t="s">
        <v>22</v>
      </c>
      <c r="P10" s="2">
        <v>61.4</v>
      </c>
      <c r="Q10" s="2">
        <v>2027</v>
      </c>
      <c r="R10" s="2" t="s">
        <v>12</v>
      </c>
    </row>
    <row r="11" spans="9:18" ht="15" customHeight="1" x14ac:dyDescent="0.3">
      <c r="I11" s="4" t="s">
        <v>109</v>
      </c>
      <c r="J11" s="4" t="s">
        <v>110</v>
      </c>
      <c r="K11" s="4" t="s">
        <v>111</v>
      </c>
      <c r="L11" s="5">
        <v>46463</v>
      </c>
      <c r="M11" s="5">
        <v>44837</v>
      </c>
      <c r="N11" s="4" t="s">
        <v>21</v>
      </c>
      <c r="O11" s="4" t="s">
        <v>22</v>
      </c>
      <c r="P11" s="4">
        <v>151.19999999999999</v>
      </c>
      <c r="Q11" s="4">
        <v>2027</v>
      </c>
      <c r="R11" s="4" t="s">
        <v>12</v>
      </c>
    </row>
    <row r="12" spans="9:18" ht="15" customHeight="1" x14ac:dyDescent="0.3">
      <c r="I12" s="2" t="s">
        <v>160</v>
      </c>
      <c r="J12" s="2" t="s">
        <v>161</v>
      </c>
      <c r="K12" s="2" t="s">
        <v>162</v>
      </c>
      <c r="L12" s="3">
        <v>46475</v>
      </c>
      <c r="M12" s="3">
        <v>45399</v>
      </c>
      <c r="N12" s="2" t="s">
        <v>21</v>
      </c>
      <c r="O12" s="2" t="s">
        <v>22</v>
      </c>
      <c r="P12" s="2">
        <v>77.209999999999994</v>
      </c>
      <c r="Q12" s="2">
        <v>2027</v>
      </c>
      <c r="R12" s="2" t="s">
        <v>12</v>
      </c>
    </row>
    <row r="13" spans="9:18" ht="15" customHeight="1" x14ac:dyDescent="0.3">
      <c r="I13" s="4" t="s">
        <v>165</v>
      </c>
      <c r="J13" s="4" t="s">
        <v>166</v>
      </c>
      <c r="K13" s="4" t="s">
        <v>10</v>
      </c>
      <c r="L13" s="5">
        <v>46477</v>
      </c>
      <c r="M13" s="5">
        <v>45392</v>
      </c>
      <c r="N13" s="4" t="s">
        <v>21</v>
      </c>
      <c r="O13" s="4" t="s">
        <v>22</v>
      </c>
      <c r="P13" s="4">
        <v>356.6</v>
      </c>
      <c r="Q13" s="4">
        <v>2027</v>
      </c>
      <c r="R13" s="4" t="s">
        <v>12</v>
      </c>
    </row>
    <row r="14" spans="9:18" ht="15" customHeight="1" x14ac:dyDescent="0.3">
      <c r="I14" s="2" t="s">
        <v>183</v>
      </c>
      <c r="J14" s="2" t="s">
        <v>184</v>
      </c>
      <c r="K14" s="2" t="s">
        <v>104</v>
      </c>
      <c r="L14" s="3">
        <v>46480</v>
      </c>
      <c r="M14" s="3">
        <v>45720</v>
      </c>
      <c r="N14" s="2" t="s">
        <v>21</v>
      </c>
      <c r="O14" s="2" t="s">
        <v>22</v>
      </c>
      <c r="P14" s="2">
        <v>242.31</v>
      </c>
      <c r="Q14" s="2">
        <v>2027</v>
      </c>
      <c r="R14" s="2" t="s">
        <v>12</v>
      </c>
    </row>
    <row r="15" spans="9:18" ht="15" customHeight="1" x14ac:dyDescent="0.3">
      <c r="I15" s="4" t="s">
        <v>100</v>
      </c>
      <c r="J15" s="4" t="s">
        <v>142</v>
      </c>
      <c r="K15" s="4" t="s">
        <v>91</v>
      </c>
      <c r="L15" s="5">
        <v>46483</v>
      </c>
      <c r="M15" s="5">
        <v>45511</v>
      </c>
      <c r="N15" s="4" t="s">
        <v>21</v>
      </c>
      <c r="O15" s="4" t="s">
        <v>22</v>
      </c>
      <c r="P15" s="4">
        <v>138.4</v>
      </c>
      <c r="Q15" s="4">
        <v>2027</v>
      </c>
      <c r="R15" s="4" t="s">
        <v>12</v>
      </c>
    </row>
    <row r="16" spans="9:18" ht="15" customHeight="1" x14ac:dyDescent="0.3">
      <c r="I16" s="2" t="s">
        <v>189</v>
      </c>
      <c r="J16" s="2" t="s">
        <v>190</v>
      </c>
      <c r="K16" s="2" t="s">
        <v>42</v>
      </c>
      <c r="L16" s="3">
        <v>46492</v>
      </c>
      <c r="M16" s="3">
        <v>44848</v>
      </c>
      <c r="N16" s="2" t="s">
        <v>21</v>
      </c>
      <c r="O16" s="2" t="s">
        <v>22</v>
      </c>
      <c r="P16" s="2">
        <v>206.75</v>
      </c>
      <c r="Q16" s="2">
        <v>2027</v>
      </c>
      <c r="R16" s="2" t="s">
        <v>12</v>
      </c>
    </row>
    <row r="17" spans="9:18" ht="15" customHeight="1" x14ac:dyDescent="0.3">
      <c r="I17" s="4" t="s">
        <v>78</v>
      </c>
      <c r="J17" s="4" t="s">
        <v>79</v>
      </c>
      <c r="K17" s="4" t="s">
        <v>41</v>
      </c>
      <c r="L17" s="5">
        <v>46492</v>
      </c>
      <c r="M17" s="5">
        <v>45217</v>
      </c>
      <c r="N17" s="4" t="s">
        <v>21</v>
      </c>
      <c r="O17" s="4" t="s">
        <v>22</v>
      </c>
      <c r="P17" s="4">
        <v>50.73</v>
      </c>
      <c r="Q17" s="4">
        <v>2027</v>
      </c>
      <c r="R17" s="4" t="s">
        <v>12</v>
      </c>
    </row>
    <row r="18" spans="9:18" ht="15" customHeight="1" x14ac:dyDescent="0.3">
      <c r="I18" s="2" t="s">
        <v>194</v>
      </c>
      <c r="J18" s="2" t="s">
        <v>428</v>
      </c>
      <c r="K18" s="2" t="s">
        <v>195</v>
      </c>
      <c r="L18" s="3">
        <v>46506</v>
      </c>
      <c r="M18" s="3">
        <v>44523</v>
      </c>
      <c r="N18" s="2" t="s">
        <v>21</v>
      </c>
      <c r="O18" s="2" t="s">
        <v>22</v>
      </c>
      <c r="P18" s="2">
        <v>602.02</v>
      </c>
      <c r="Q18" s="2">
        <v>2027</v>
      </c>
      <c r="R18" s="2" t="s">
        <v>12</v>
      </c>
    </row>
    <row r="19" spans="9:18" ht="15" customHeight="1" x14ac:dyDescent="0.3">
      <c r="I19" s="4" t="s">
        <v>196</v>
      </c>
      <c r="J19" s="4" t="s">
        <v>197</v>
      </c>
      <c r="K19" s="4" t="s">
        <v>53</v>
      </c>
      <c r="L19" s="5">
        <v>46506</v>
      </c>
      <c r="M19" s="5">
        <v>45271</v>
      </c>
      <c r="N19" s="4" t="s">
        <v>21</v>
      </c>
      <c r="O19" s="4" t="s">
        <v>22</v>
      </c>
      <c r="P19" s="4">
        <v>152.32</v>
      </c>
      <c r="Q19" s="4">
        <v>2027</v>
      </c>
      <c r="R19" s="4" t="s">
        <v>12</v>
      </c>
    </row>
    <row r="20" spans="9:18" ht="15" customHeight="1" x14ac:dyDescent="0.3">
      <c r="I20" s="2" t="s">
        <v>323</v>
      </c>
      <c r="J20" s="2" t="s">
        <v>324</v>
      </c>
      <c r="K20" s="2" t="s">
        <v>93</v>
      </c>
      <c r="L20" s="3">
        <v>46508</v>
      </c>
      <c r="M20" s="3">
        <v>44248</v>
      </c>
      <c r="N20" s="2" t="s">
        <v>21</v>
      </c>
      <c r="O20" s="2" t="s">
        <v>22</v>
      </c>
      <c r="P20" s="2">
        <v>132.97999999999999</v>
      </c>
      <c r="Q20" s="2">
        <v>2027</v>
      </c>
      <c r="R20" s="2" t="s">
        <v>12</v>
      </c>
    </row>
    <row r="21" spans="9:18" ht="15" customHeight="1" x14ac:dyDescent="0.3">
      <c r="I21" s="4" t="s">
        <v>208</v>
      </c>
      <c r="J21" s="4" t="s">
        <v>209</v>
      </c>
      <c r="K21" s="4" t="s">
        <v>93</v>
      </c>
      <c r="L21" s="5">
        <v>46508</v>
      </c>
      <c r="M21" s="5">
        <v>44253</v>
      </c>
      <c r="N21" s="4" t="s">
        <v>21</v>
      </c>
      <c r="O21" s="4" t="s">
        <v>22</v>
      </c>
      <c r="P21" s="4">
        <v>324.11</v>
      </c>
      <c r="Q21" s="4">
        <v>2027</v>
      </c>
      <c r="R21" s="4" t="s">
        <v>12</v>
      </c>
    </row>
    <row r="22" spans="9:18" ht="15" customHeight="1" x14ac:dyDescent="0.3">
      <c r="I22" s="2" t="s">
        <v>181</v>
      </c>
      <c r="J22" s="2" t="s">
        <v>225</v>
      </c>
      <c r="K22" s="2" t="s">
        <v>182</v>
      </c>
      <c r="L22" s="3">
        <v>46521</v>
      </c>
      <c r="M22" s="3">
        <v>44599</v>
      </c>
      <c r="N22" s="2" t="s">
        <v>21</v>
      </c>
      <c r="O22" s="2" t="s">
        <v>22</v>
      </c>
      <c r="P22" s="2">
        <v>36</v>
      </c>
      <c r="Q22" s="2">
        <v>2027</v>
      </c>
      <c r="R22" s="2" t="s">
        <v>12</v>
      </c>
    </row>
    <row r="23" spans="9:18" ht="15" customHeight="1" x14ac:dyDescent="0.3">
      <c r="I23" s="4" t="s">
        <v>163</v>
      </c>
      <c r="J23" s="4" t="s">
        <v>164</v>
      </c>
      <c r="K23" s="4" t="s">
        <v>10</v>
      </c>
      <c r="L23" s="5">
        <v>46525</v>
      </c>
      <c r="M23" s="5">
        <v>45621</v>
      </c>
      <c r="N23" s="4" t="s">
        <v>21</v>
      </c>
      <c r="O23" s="4" t="s">
        <v>22</v>
      </c>
      <c r="P23" s="4">
        <v>505.43</v>
      </c>
      <c r="Q23" s="4">
        <v>2027</v>
      </c>
      <c r="R23" s="4" t="s">
        <v>12</v>
      </c>
    </row>
    <row r="24" spans="9:18" ht="15" customHeight="1" x14ac:dyDescent="0.3">
      <c r="I24" s="2" t="s">
        <v>226</v>
      </c>
      <c r="J24" s="2" t="s">
        <v>227</v>
      </c>
      <c r="K24" s="2" t="s">
        <v>17</v>
      </c>
      <c r="L24" s="3">
        <v>46539</v>
      </c>
      <c r="M24" s="3">
        <v>46002</v>
      </c>
      <c r="N24" s="2" t="s">
        <v>21</v>
      </c>
      <c r="O24" s="2" t="s">
        <v>22</v>
      </c>
      <c r="P24" s="2">
        <v>366</v>
      </c>
      <c r="Q24" s="2">
        <v>2027</v>
      </c>
      <c r="R24" s="2" t="s">
        <v>12</v>
      </c>
    </row>
    <row r="25" spans="9:18" ht="15" customHeight="1" x14ac:dyDescent="0.3">
      <c r="I25" s="4" t="s">
        <v>277</v>
      </c>
      <c r="J25" s="4" t="s">
        <v>278</v>
      </c>
      <c r="K25" s="4" t="s">
        <v>14</v>
      </c>
      <c r="L25" s="5">
        <v>46539</v>
      </c>
      <c r="M25" s="5">
        <v>45245</v>
      </c>
      <c r="N25" s="4" t="s">
        <v>21</v>
      </c>
      <c r="O25" s="4" t="s">
        <v>22</v>
      </c>
      <c r="P25" s="4">
        <v>502.48</v>
      </c>
      <c r="Q25" s="4">
        <v>2027</v>
      </c>
      <c r="R25" s="4" t="s">
        <v>12</v>
      </c>
    </row>
    <row r="26" spans="9:18" ht="15" customHeight="1" x14ac:dyDescent="0.3">
      <c r="I26" s="2" t="s">
        <v>228</v>
      </c>
      <c r="J26" s="2" t="s">
        <v>229</v>
      </c>
      <c r="K26" s="2" t="s">
        <v>59</v>
      </c>
      <c r="L26" s="3">
        <v>46559</v>
      </c>
      <c r="M26" s="3">
        <v>44559</v>
      </c>
      <c r="N26" s="2" t="s">
        <v>21</v>
      </c>
      <c r="O26" s="2" t="s">
        <v>22</v>
      </c>
      <c r="P26" s="2">
        <v>121.04</v>
      </c>
      <c r="Q26" s="2">
        <v>2027</v>
      </c>
      <c r="R26" s="2" t="s">
        <v>12</v>
      </c>
    </row>
    <row r="27" spans="9:18" ht="15" customHeight="1" x14ac:dyDescent="0.3">
      <c r="I27" s="4" t="s">
        <v>213</v>
      </c>
      <c r="J27" s="4" t="s">
        <v>214</v>
      </c>
      <c r="K27" s="4" t="s">
        <v>215</v>
      </c>
      <c r="L27" s="5">
        <v>46566</v>
      </c>
      <c r="M27" s="5">
        <v>43517</v>
      </c>
      <c r="N27" s="4" t="s">
        <v>21</v>
      </c>
      <c r="O27" s="4" t="s">
        <v>22</v>
      </c>
      <c r="P27" s="4">
        <v>169.59</v>
      </c>
      <c r="Q27" s="4">
        <v>2027</v>
      </c>
      <c r="R27" s="4" t="s">
        <v>12</v>
      </c>
    </row>
    <row r="28" spans="9:18" ht="15" customHeight="1" x14ac:dyDescent="0.3">
      <c r="I28" s="2" t="s">
        <v>210</v>
      </c>
      <c r="J28" s="2" t="s">
        <v>211</v>
      </c>
      <c r="K28" s="2" t="s">
        <v>212</v>
      </c>
      <c r="L28" s="3">
        <v>46568</v>
      </c>
      <c r="M28" s="3">
        <v>45432</v>
      </c>
      <c r="N28" s="2" t="s">
        <v>21</v>
      </c>
      <c r="O28" s="2" t="s">
        <v>22</v>
      </c>
      <c r="P28" s="2">
        <v>136.97999999999999</v>
      </c>
      <c r="Q28" s="2">
        <v>2027</v>
      </c>
      <c r="R28" s="2" t="s">
        <v>11</v>
      </c>
    </row>
    <row r="29" spans="9:18" ht="15" customHeight="1" x14ac:dyDescent="0.3">
      <c r="I29" s="4" t="s">
        <v>233</v>
      </c>
      <c r="J29" s="4" t="s">
        <v>234</v>
      </c>
      <c r="K29" s="4" t="s">
        <v>235</v>
      </c>
      <c r="L29" s="5">
        <v>46568</v>
      </c>
      <c r="M29" s="5">
        <v>45441</v>
      </c>
      <c r="N29" s="4" t="s">
        <v>21</v>
      </c>
      <c r="O29" s="4" t="s">
        <v>22</v>
      </c>
      <c r="P29" s="4">
        <v>352.21</v>
      </c>
      <c r="Q29" s="4">
        <v>2027</v>
      </c>
      <c r="R29" s="4" t="s">
        <v>12</v>
      </c>
    </row>
    <row r="30" spans="9:18" ht="15" customHeight="1" x14ac:dyDescent="0.3">
      <c r="I30" s="2" t="s">
        <v>505</v>
      </c>
      <c r="J30" s="2" t="s">
        <v>506</v>
      </c>
      <c r="K30" s="2" t="s">
        <v>23</v>
      </c>
      <c r="L30" s="3">
        <v>46568</v>
      </c>
      <c r="M30" s="3">
        <v>45479</v>
      </c>
      <c r="N30" s="2" t="s">
        <v>21</v>
      </c>
      <c r="O30" s="2" t="s">
        <v>22</v>
      </c>
      <c r="P30" s="2">
        <v>201.56</v>
      </c>
      <c r="Q30" s="2">
        <v>2027</v>
      </c>
      <c r="R30" s="2" t="s">
        <v>12</v>
      </c>
    </row>
    <row r="31" spans="9:18" ht="15" customHeight="1" x14ac:dyDescent="0.3">
      <c r="I31" s="4" t="s">
        <v>117</v>
      </c>
      <c r="J31" s="4" t="s">
        <v>276</v>
      </c>
      <c r="K31" s="4" t="s">
        <v>118</v>
      </c>
      <c r="L31" s="5">
        <v>46573</v>
      </c>
      <c r="M31" s="5">
        <v>44676</v>
      </c>
      <c r="N31" s="4" t="s">
        <v>21</v>
      </c>
      <c r="O31" s="4" t="s">
        <v>22</v>
      </c>
      <c r="P31" s="4">
        <v>95.29</v>
      </c>
      <c r="Q31" s="4">
        <v>2027</v>
      </c>
      <c r="R31" s="4" t="s">
        <v>12</v>
      </c>
    </row>
    <row r="32" spans="9:18" ht="15" customHeight="1" x14ac:dyDescent="0.3">
      <c r="I32" s="2" t="s">
        <v>249</v>
      </c>
      <c r="J32" s="2" t="s">
        <v>250</v>
      </c>
      <c r="K32" s="2" t="s">
        <v>251</v>
      </c>
      <c r="L32" s="3">
        <v>46574</v>
      </c>
      <c r="M32" s="3">
        <v>45539</v>
      </c>
      <c r="N32" s="2" t="s">
        <v>21</v>
      </c>
      <c r="O32" s="2" t="s">
        <v>22</v>
      </c>
      <c r="P32" s="2">
        <v>603.59</v>
      </c>
      <c r="Q32" s="2">
        <v>2027</v>
      </c>
      <c r="R32" s="2" t="s">
        <v>12</v>
      </c>
    </row>
    <row r="33" spans="9:18" ht="15" customHeight="1" x14ac:dyDescent="0.3">
      <c r="I33" s="4" t="s">
        <v>252</v>
      </c>
      <c r="J33" s="4" t="s">
        <v>253</v>
      </c>
      <c r="K33" s="4" t="s">
        <v>46</v>
      </c>
      <c r="L33" s="5">
        <v>46576</v>
      </c>
      <c r="M33" s="5">
        <v>45217</v>
      </c>
      <c r="N33" s="4" t="s">
        <v>21</v>
      </c>
      <c r="O33" s="4" t="s">
        <v>22</v>
      </c>
      <c r="P33" s="4">
        <v>308.88</v>
      </c>
      <c r="Q33" s="4">
        <v>2027</v>
      </c>
      <c r="R33" s="4" t="s">
        <v>12</v>
      </c>
    </row>
    <row r="34" spans="9:18" ht="15" customHeight="1" x14ac:dyDescent="0.3">
      <c r="I34" s="2" t="s">
        <v>185</v>
      </c>
      <c r="J34" s="2" t="s">
        <v>186</v>
      </c>
      <c r="K34" s="2" t="s">
        <v>23</v>
      </c>
      <c r="L34" s="3">
        <v>46580</v>
      </c>
      <c r="M34" s="3">
        <v>45635</v>
      </c>
      <c r="N34" s="2" t="s">
        <v>21</v>
      </c>
      <c r="O34" s="2" t="s">
        <v>22</v>
      </c>
      <c r="P34" s="2">
        <v>115.61</v>
      </c>
      <c r="Q34" s="2">
        <v>2027</v>
      </c>
      <c r="R34" s="2" t="s">
        <v>11</v>
      </c>
    </row>
    <row r="35" spans="9:18" ht="15" customHeight="1" x14ac:dyDescent="0.3">
      <c r="I35" s="4" t="s">
        <v>254</v>
      </c>
      <c r="J35" s="4" t="s">
        <v>255</v>
      </c>
      <c r="K35" s="4" t="s">
        <v>256</v>
      </c>
      <c r="L35" s="5">
        <v>46581</v>
      </c>
      <c r="M35" s="5">
        <v>44859</v>
      </c>
      <c r="N35" s="4" t="s">
        <v>21</v>
      </c>
      <c r="O35" s="4" t="s">
        <v>22</v>
      </c>
      <c r="P35" s="4">
        <v>171.13</v>
      </c>
      <c r="Q35" s="4">
        <v>2027</v>
      </c>
      <c r="R35" s="4" t="s">
        <v>12</v>
      </c>
    </row>
    <row r="36" spans="9:18" ht="15" customHeight="1" x14ac:dyDescent="0.3">
      <c r="I36" s="2" t="s">
        <v>257</v>
      </c>
      <c r="J36" s="2" t="s">
        <v>258</v>
      </c>
      <c r="K36" s="2" t="s">
        <v>46</v>
      </c>
      <c r="L36" s="3">
        <v>46590</v>
      </c>
      <c r="M36" s="3">
        <v>45217</v>
      </c>
      <c r="N36" s="2" t="s">
        <v>21</v>
      </c>
      <c r="O36" s="2" t="s">
        <v>22</v>
      </c>
      <c r="P36" s="2">
        <v>256.23</v>
      </c>
      <c r="Q36" s="2">
        <v>2027</v>
      </c>
      <c r="R36" s="2" t="s">
        <v>12</v>
      </c>
    </row>
    <row r="37" spans="9:18" ht="15" customHeight="1" x14ac:dyDescent="0.3">
      <c r="I37" s="4" t="s">
        <v>259</v>
      </c>
      <c r="J37" s="4" t="s">
        <v>260</v>
      </c>
      <c r="K37" s="4" t="s">
        <v>94</v>
      </c>
      <c r="L37" s="5">
        <v>46599</v>
      </c>
      <c r="M37" s="5">
        <v>45470</v>
      </c>
      <c r="N37" s="4" t="s">
        <v>21</v>
      </c>
      <c r="O37" s="4" t="s">
        <v>22</v>
      </c>
      <c r="P37" s="4">
        <v>1025.57</v>
      </c>
      <c r="Q37" s="4">
        <v>2027</v>
      </c>
      <c r="R37" s="4" t="s">
        <v>11</v>
      </c>
    </row>
    <row r="38" spans="9:18" ht="15" customHeight="1" x14ac:dyDescent="0.3">
      <c r="I38" s="2" t="s">
        <v>187</v>
      </c>
      <c r="J38" s="2" t="s">
        <v>188</v>
      </c>
      <c r="K38" s="2" t="s">
        <v>42</v>
      </c>
      <c r="L38" s="3">
        <v>46603</v>
      </c>
      <c r="M38" s="3">
        <v>45642</v>
      </c>
      <c r="N38" s="2" t="s">
        <v>21</v>
      </c>
      <c r="O38" s="2" t="s">
        <v>22</v>
      </c>
      <c r="P38" s="2">
        <v>85.54</v>
      </c>
      <c r="Q38" s="2">
        <v>2027</v>
      </c>
      <c r="R38" s="2" t="s">
        <v>11</v>
      </c>
    </row>
    <row r="39" spans="9:18" ht="15" customHeight="1" x14ac:dyDescent="0.3">
      <c r="I39" s="4" t="s">
        <v>191</v>
      </c>
      <c r="J39" s="4" t="s">
        <v>192</v>
      </c>
      <c r="K39" s="4" t="s">
        <v>193</v>
      </c>
      <c r="L39" s="5">
        <v>46616</v>
      </c>
      <c r="M39" s="5">
        <v>45189</v>
      </c>
      <c r="N39" s="4" t="s">
        <v>21</v>
      </c>
      <c r="O39" s="4" t="s">
        <v>22</v>
      </c>
      <c r="P39" s="4">
        <v>398.83</v>
      </c>
      <c r="Q39" s="4">
        <v>2027</v>
      </c>
      <c r="R39" s="4" t="s">
        <v>12</v>
      </c>
    </row>
    <row r="40" spans="9:18" ht="15" customHeight="1" x14ac:dyDescent="0.3">
      <c r="I40" s="2" t="s">
        <v>206</v>
      </c>
      <c r="J40" s="2" t="s">
        <v>207</v>
      </c>
      <c r="K40" s="2" t="s">
        <v>17</v>
      </c>
      <c r="L40" s="3">
        <v>46616</v>
      </c>
      <c r="M40" s="3">
        <v>44252</v>
      </c>
      <c r="N40" s="2" t="s">
        <v>21</v>
      </c>
      <c r="O40" s="2" t="s">
        <v>22</v>
      </c>
      <c r="P40" s="2">
        <v>0</v>
      </c>
      <c r="Q40" s="2">
        <v>2027</v>
      </c>
      <c r="R40" s="2" t="s">
        <v>11</v>
      </c>
    </row>
    <row r="41" spans="9:18" ht="15" customHeight="1" x14ac:dyDescent="0.3">
      <c r="I41" s="4" t="s">
        <v>282</v>
      </c>
      <c r="J41" s="4" t="s">
        <v>283</v>
      </c>
      <c r="K41" s="4" t="s">
        <v>41</v>
      </c>
      <c r="L41" s="5">
        <v>46624</v>
      </c>
      <c r="M41" s="5">
        <v>44720</v>
      </c>
      <c r="N41" s="4" t="s">
        <v>21</v>
      </c>
      <c r="O41" s="4" t="s">
        <v>22</v>
      </c>
      <c r="P41" s="4">
        <v>101</v>
      </c>
      <c r="Q41" s="4">
        <v>2027</v>
      </c>
      <c r="R41" s="4" t="s">
        <v>12</v>
      </c>
    </row>
    <row r="42" spans="9:18" ht="15" customHeight="1" x14ac:dyDescent="0.3">
      <c r="I42" s="2" t="s">
        <v>284</v>
      </c>
      <c r="J42" s="2" t="s">
        <v>285</v>
      </c>
      <c r="K42" s="2" t="s">
        <v>232</v>
      </c>
      <c r="L42" s="3">
        <v>46624</v>
      </c>
      <c r="M42" s="3">
        <v>45236</v>
      </c>
      <c r="N42" s="2" t="s">
        <v>21</v>
      </c>
      <c r="O42" s="2" t="s">
        <v>22</v>
      </c>
      <c r="P42" s="2">
        <v>170.45</v>
      </c>
      <c r="Q42" s="2">
        <v>2027</v>
      </c>
      <c r="R42" s="2" t="s">
        <v>12</v>
      </c>
    </row>
    <row r="43" spans="9:18" ht="15" customHeight="1" x14ac:dyDescent="0.3">
      <c r="I43" s="4" t="s">
        <v>286</v>
      </c>
      <c r="J43" s="4" t="s">
        <v>287</v>
      </c>
      <c r="K43" s="4" t="s">
        <v>25</v>
      </c>
      <c r="L43" s="5">
        <v>46624</v>
      </c>
      <c r="M43" s="5">
        <v>45345</v>
      </c>
      <c r="N43" s="4" t="s">
        <v>21</v>
      </c>
      <c r="O43" s="4" t="s">
        <v>22</v>
      </c>
      <c r="P43" s="4">
        <v>84.99</v>
      </c>
      <c r="Q43" s="4">
        <v>2027</v>
      </c>
      <c r="R43" s="4" t="s">
        <v>11</v>
      </c>
    </row>
    <row r="44" spans="9:18" ht="15" customHeight="1" x14ac:dyDescent="0.3">
      <c r="I44" s="2" t="s">
        <v>288</v>
      </c>
      <c r="J44" s="2" t="s">
        <v>289</v>
      </c>
      <c r="K44" s="2" t="s">
        <v>34</v>
      </c>
      <c r="L44" s="3">
        <v>46629</v>
      </c>
      <c r="M44" s="3">
        <v>44896</v>
      </c>
      <c r="N44" s="2" t="s">
        <v>21</v>
      </c>
      <c r="O44" s="2" t="s">
        <v>22</v>
      </c>
      <c r="P44" s="2">
        <v>50.42</v>
      </c>
      <c r="Q44" s="2">
        <v>2027</v>
      </c>
      <c r="R44" s="2" t="s">
        <v>11</v>
      </c>
    </row>
    <row r="45" spans="9:18" ht="15" customHeight="1" x14ac:dyDescent="0.3">
      <c r="I45" s="4" t="s">
        <v>290</v>
      </c>
      <c r="J45" s="4" t="s">
        <v>291</v>
      </c>
      <c r="K45" s="4" t="s">
        <v>292</v>
      </c>
      <c r="L45" s="5">
        <v>46630</v>
      </c>
      <c r="M45" s="5">
        <v>46086</v>
      </c>
      <c r="N45" s="4" t="s">
        <v>21</v>
      </c>
      <c r="O45" s="4" t="s">
        <v>22</v>
      </c>
      <c r="P45" s="4">
        <v>203</v>
      </c>
      <c r="Q45" s="4">
        <v>2027</v>
      </c>
      <c r="R45" s="4" t="s">
        <v>12</v>
      </c>
    </row>
    <row r="46" spans="9:18" ht="15" customHeight="1" x14ac:dyDescent="0.3">
      <c r="I46" s="2" t="s">
        <v>293</v>
      </c>
      <c r="J46" s="2" t="s">
        <v>294</v>
      </c>
      <c r="K46" s="2" t="s">
        <v>295</v>
      </c>
      <c r="L46" s="3">
        <v>46630</v>
      </c>
      <c r="M46" s="3">
        <v>45630</v>
      </c>
      <c r="N46" s="2" t="s">
        <v>21</v>
      </c>
      <c r="O46" s="2" t="s">
        <v>22</v>
      </c>
      <c r="P46" s="2">
        <v>250.88</v>
      </c>
      <c r="Q46" s="2">
        <v>2027</v>
      </c>
      <c r="R46" s="2" t="s">
        <v>12</v>
      </c>
    </row>
    <row r="47" spans="9:18" ht="15" customHeight="1" x14ac:dyDescent="0.3">
      <c r="I47" s="4" t="s">
        <v>143</v>
      </c>
      <c r="J47" s="4" t="s">
        <v>144</v>
      </c>
      <c r="K47" s="4" t="s">
        <v>42</v>
      </c>
      <c r="L47" s="5">
        <v>46631</v>
      </c>
      <c r="M47" s="5">
        <v>45632</v>
      </c>
      <c r="N47" s="4" t="s">
        <v>21</v>
      </c>
      <c r="O47" s="4" t="s">
        <v>22</v>
      </c>
      <c r="P47" s="4">
        <v>196.3</v>
      </c>
      <c r="Q47" s="4">
        <v>2027</v>
      </c>
      <c r="R47" s="4" t="s">
        <v>12</v>
      </c>
    </row>
    <row r="48" spans="9:18" ht="15" customHeight="1" x14ac:dyDescent="0.3">
      <c r="I48" s="2" t="s">
        <v>325</v>
      </c>
      <c r="J48" s="2" t="s">
        <v>326</v>
      </c>
      <c r="K48" s="2" t="s">
        <v>104</v>
      </c>
      <c r="L48" s="3">
        <v>46643</v>
      </c>
      <c r="M48" s="3">
        <v>45834</v>
      </c>
      <c r="N48" s="2" t="s">
        <v>21</v>
      </c>
      <c r="O48" s="2" t="s">
        <v>22</v>
      </c>
      <c r="P48" s="2">
        <v>162.31</v>
      </c>
      <c r="Q48" s="2">
        <v>2027</v>
      </c>
      <c r="R48" s="2" t="s">
        <v>12</v>
      </c>
    </row>
    <row r="49" spans="1:33" ht="15" customHeight="1" x14ac:dyDescent="0.3">
      <c r="I49" s="4" t="s">
        <v>327</v>
      </c>
      <c r="J49" s="4" t="s">
        <v>328</v>
      </c>
      <c r="K49" s="4" t="s">
        <v>95</v>
      </c>
      <c r="L49" s="5">
        <v>46645</v>
      </c>
      <c r="M49" s="5">
        <v>45839</v>
      </c>
      <c r="N49" s="4" t="s">
        <v>21</v>
      </c>
      <c r="O49" s="4" t="s">
        <v>22</v>
      </c>
      <c r="P49" s="4">
        <v>500</v>
      </c>
      <c r="Q49" s="4">
        <v>2027</v>
      </c>
      <c r="R49" s="4" t="s">
        <v>12</v>
      </c>
    </row>
    <row r="50" spans="1:33" ht="15" customHeight="1" x14ac:dyDescent="0.3">
      <c r="I50" s="2" t="s">
        <v>329</v>
      </c>
      <c r="J50" s="2" t="s">
        <v>330</v>
      </c>
      <c r="K50" s="2" t="s">
        <v>331</v>
      </c>
      <c r="L50" s="3">
        <v>46647</v>
      </c>
      <c r="M50" s="3">
        <v>44089</v>
      </c>
      <c r="N50" s="2" t="s">
        <v>21</v>
      </c>
      <c r="O50" s="2" t="s">
        <v>22</v>
      </c>
      <c r="P50" s="2">
        <v>150</v>
      </c>
      <c r="Q50" s="2">
        <v>2027</v>
      </c>
      <c r="R50" s="2" t="s">
        <v>12</v>
      </c>
    </row>
    <row r="51" spans="1:33" ht="15" customHeight="1" x14ac:dyDescent="0.3">
      <c r="I51" s="4" t="s">
        <v>54</v>
      </c>
      <c r="J51" s="4" t="s">
        <v>55</v>
      </c>
      <c r="K51" s="4" t="s">
        <v>14</v>
      </c>
      <c r="L51" s="5">
        <v>46647</v>
      </c>
      <c r="M51" s="5">
        <v>45000</v>
      </c>
      <c r="N51" s="4" t="s">
        <v>21</v>
      </c>
      <c r="O51" s="4" t="s">
        <v>22</v>
      </c>
      <c r="P51" s="4">
        <v>200.85</v>
      </c>
      <c r="Q51" s="4">
        <v>2027</v>
      </c>
      <c r="R51" s="4" t="s">
        <v>12</v>
      </c>
    </row>
    <row r="52" spans="1:33" ht="15" customHeight="1" x14ac:dyDescent="0.3">
      <c r="I52" s="2" t="s">
        <v>332</v>
      </c>
      <c r="J52" s="2" t="s">
        <v>359</v>
      </c>
      <c r="K52" s="2" t="s">
        <v>333</v>
      </c>
      <c r="L52" s="3">
        <v>46647</v>
      </c>
      <c r="M52" s="3">
        <v>45840</v>
      </c>
      <c r="N52" s="2" t="s">
        <v>21</v>
      </c>
      <c r="O52" s="2" t="s">
        <v>22</v>
      </c>
      <c r="P52" s="2">
        <v>150.63999999999999</v>
      </c>
      <c r="Q52" s="2">
        <v>2027</v>
      </c>
      <c r="R52" s="2" t="s">
        <v>11</v>
      </c>
    </row>
    <row r="53" spans="1:33" ht="15" customHeight="1" x14ac:dyDescent="0.3">
      <c r="I53" s="4" t="s">
        <v>334</v>
      </c>
      <c r="J53" s="4" t="s">
        <v>335</v>
      </c>
      <c r="K53" s="4" t="s">
        <v>232</v>
      </c>
      <c r="L53" s="5">
        <v>46650</v>
      </c>
      <c r="M53" s="5">
        <v>45831</v>
      </c>
      <c r="N53" s="4" t="s">
        <v>21</v>
      </c>
      <c r="O53" s="4" t="s">
        <v>22</v>
      </c>
      <c r="P53" s="4">
        <v>120.72</v>
      </c>
      <c r="Q53" s="4">
        <v>2027</v>
      </c>
      <c r="R53" s="4" t="s">
        <v>12</v>
      </c>
    </row>
    <row r="54" spans="1:33" ht="15" customHeight="1" x14ac:dyDescent="0.3">
      <c r="I54" s="2" t="s">
        <v>336</v>
      </c>
      <c r="J54" s="2" t="s">
        <v>337</v>
      </c>
      <c r="K54" s="2" t="s">
        <v>333</v>
      </c>
      <c r="L54" s="3">
        <v>46650</v>
      </c>
      <c r="M54" s="3">
        <v>45882</v>
      </c>
      <c r="N54" s="2" t="s">
        <v>21</v>
      </c>
      <c r="O54" s="2" t="s">
        <v>22</v>
      </c>
      <c r="P54" s="2">
        <v>101.35</v>
      </c>
      <c r="Q54" s="2">
        <v>2027</v>
      </c>
      <c r="R54" s="2" t="s">
        <v>12</v>
      </c>
    </row>
    <row r="55" spans="1:33" ht="15" customHeight="1" x14ac:dyDescent="0.3">
      <c r="I55" s="4" t="s">
        <v>338</v>
      </c>
      <c r="J55" s="4" t="s">
        <v>339</v>
      </c>
      <c r="K55" s="4" t="s">
        <v>281</v>
      </c>
      <c r="L55" s="5">
        <v>46650</v>
      </c>
      <c r="M55" s="5">
        <v>45966</v>
      </c>
      <c r="N55" s="4" t="s">
        <v>21</v>
      </c>
      <c r="O55" s="4" t="s">
        <v>22</v>
      </c>
      <c r="P55" s="4">
        <v>152.02000000000001</v>
      </c>
      <c r="Q55" s="4">
        <v>2027</v>
      </c>
      <c r="R55" s="4" t="s">
        <v>12</v>
      </c>
    </row>
    <row r="56" spans="1:33" ht="15" customHeight="1" x14ac:dyDescent="0.3">
      <c r="I56" s="2" t="s">
        <v>119</v>
      </c>
      <c r="J56" s="2" t="s">
        <v>120</v>
      </c>
      <c r="K56" s="2" t="s">
        <v>88</v>
      </c>
      <c r="L56" s="3">
        <v>46661</v>
      </c>
      <c r="M56" s="3">
        <v>44225</v>
      </c>
      <c r="N56" s="2" t="s">
        <v>21</v>
      </c>
      <c r="O56" s="2" t="s">
        <v>22</v>
      </c>
      <c r="P56" s="2">
        <v>121.89</v>
      </c>
      <c r="Q56" s="2">
        <v>2027</v>
      </c>
      <c r="R56" s="2" t="s">
        <v>11</v>
      </c>
    </row>
    <row r="57" spans="1:33" ht="15" customHeight="1" x14ac:dyDescent="0.3">
      <c r="I57" s="4" t="s">
        <v>361</v>
      </c>
      <c r="J57" s="4" t="s">
        <v>362</v>
      </c>
      <c r="K57" s="4" t="s">
        <v>17</v>
      </c>
      <c r="L57" s="5">
        <v>46661</v>
      </c>
      <c r="M57" s="5">
        <v>45848</v>
      </c>
      <c r="N57" s="4" t="s">
        <v>21</v>
      </c>
      <c r="O57" s="4" t="s">
        <v>22</v>
      </c>
      <c r="P57" s="4">
        <v>265.10000000000002</v>
      </c>
      <c r="Q57" s="4">
        <v>2027</v>
      </c>
      <c r="R57" s="4" t="s">
        <v>12</v>
      </c>
    </row>
    <row r="58" spans="1:33" ht="15" customHeight="1" x14ac:dyDescent="0.3">
      <c r="I58" s="2" t="s">
        <v>363</v>
      </c>
      <c r="J58" s="2" t="s">
        <v>364</v>
      </c>
      <c r="K58" s="2" t="s">
        <v>333</v>
      </c>
      <c r="L58" s="3">
        <v>46661</v>
      </c>
      <c r="M58" s="3">
        <v>45404</v>
      </c>
      <c r="N58" s="2" t="s">
        <v>21</v>
      </c>
      <c r="O58" s="2" t="s">
        <v>22</v>
      </c>
      <c r="P58" s="2">
        <v>81.459999999999994</v>
      </c>
      <c r="Q58" s="2">
        <v>2027</v>
      </c>
      <c r="R58" s="2" t="s">
        <v>11</v>
      </c>
    </row>
    <row r="59" spans="1:33" ht="15" customHeight="1" x14ac:dyDescent="0.3">
      <c r="A59" s="6" t="s">
        <v>39</v>
      </c>
      <c r="B59" s="9" t="s">
        <v>43</v>
      </c>
      <c r="C59" s="9" t="s">
        <v>45</v>
      </c>
      <c r="D59" s="9" t="s">
        <v>15</v>
      </c>
      <c r="E59" s="9" t="s">
        <v>16</v>
      </c>
      <c r="F59" s="9" t="s">
        <v>44</v>
      </c>
      <c r="I59" s="4" t="s">
        <v>538</v>
      </c>
      <c r="J59" s="4" t="s">
        <v>539</v>
      </c>
      <c r="K59" s="4" t="s">
        <v>20</v>
      </c>
      <c r="L59" s="5">
        <v>46666</v>
      </c>
      <c r="M59" s="5">
        <v>46099</v>
      </c>
      <c r="N59" s="4" t="s">
        <v>21</v>
      </c>
      <c r="O59" s="4" t="s">
        <v>22</v>
      </c>
      <c r="P59" s="4">
        <v>299.37</v>
      </c>
      <c r="Q59" s="4">
        <v>2027</v>
      </c>
      <c r="R59" s="4" t="s">
        <v>11</v>
      </c>
    </row>
    <row r="60" spans="1:33" ht="15" customHeight="1" x14ac:dyDescent="0.3">
      <c r="A60" s="7">
        <v>46285</v>
      </c>
      <c r="B60" s="10">
        <f>SUM(C60:F60)</f>
        <v>41975.989999999983</v>
      </c>
      <c r="C60" s="10">
        <v>41925.989999999983</v>
      </c>
      <c r="D60" s="10">
        <v>50</v>
      </c>
      <c r="E60" s="10">
        <v>0</v>
      </c>
      <c r="F60" s="10">
        <v>0</v>
      </c>
      <c r="H60" s="8"/>
      <c r="I60" s="2" t="s">
        <v>365</v>
      </c>
      <c r="J60" s="2" t="s">
        <v>366</v>
      </c>
      <c r="K60" s="2" t="s">
        <v>62</v>
      </c>
      <c r="L60" s="3">
        <v>46686</v>
      </c>
      <c r="M60" s="3">
        <v>45211</v>
      </c>
      <c r="N60" s="2" t="s">
        <v>21</v>
      </c>
      <c r="O60" s="2" t="s">
        <v>22</v>
      </c>
      <c r="P60" s="2">
        <v>406.6</v>
      </c>
      <c r="Q60" s="2">
        <v>2027</v>
      </c>
      <c r="R60" s="2" t="s">
        <v>12</v>
      </c>
      <c r="AB60" s="12"/>
      <c r="AC60" s="12"/>
      <c r="AE60" s="12"/>
      <c r="AF60" s="12"/>
      <c r="AG60" s="12"/>
    </row>
    <row r="61" spans="1:33" ht="15" customHeight="1" x14ac:dyDescent="0.3">
      <c r="A61" s="7">
        <v>46315</v>
      </c>
      <c r="B61" s="10">
        <f t="shared" ref="B61:B77" si="0">SUM(C61:F61)</f>
        <v>41975.989999999983</v>
      </c>
      <c r="C61" s="10">
        <v>41925.989999999983</v>
      </c>
      <c r="D61" s="10">
        <v>50</v>
      </c>
      <c r="E61" s="10">
        <v>0</v>
      </c>
      <c r="F61" s="10">
        <v>0</v>
      </c>
      <c r="H61" s="8"/>
      <c r="I61" s="4" t="s">
        <v>368</v>
      </c>
      <c r="J61" s="4" t="s">
        <v>495</v>
      </c>
      <c r="K61" s="4" t="s">
        <v>103</v>
      </c>
      <c r="L61" s="5">
        <v>46689</v>
      </c>
      <c r="M61" s="5">
        <v>45772</v>
      </c>
      <c r="N61" s="4" t="s">
        <v>21</v>
      </c>
      <c r="O61" s="4" t="s">
        <v>22</v>
      </c>
      <c r="P61" s="4">
        <v>171.09</v>
      </c>
      <c r="Q61" s="4">
        <v>2027</v>
      </c>
      <c r="R61" s="4" t="s">
        <v>12</v>
      </c>
      <c r="AB61" s="12"/>
      <c r="AC61" s="12"/>
      <c r="AE61" s="12"/>
      <c r="AF61" s="12"/>
      <c r="AG61" s="12"/>
    </row>
    <row r="62" spans="1:33" ht="15" customHeight="1" x14ac:dyDescent="0.3">
      <c r="A62" s="7">
        <v>46346</v>
      </c>
      <c r="B62" s="10">
        <f t="shared" si="0"/>
        <v>42175.989999999983</v>
      </c>
      <c r="C62" s="10">
        <v>41925.989999999983</v>
      </c>
      <c r="D62" s="10">
        <v>250</v>
      </c>
      <c r="E62" s="10">
        <v>0</v>
      </c>
      <c r="F62" s="10">
        <v>0</v>
      </c>
      <c r="H62" s="8"/>
      <c r="I62" s="2" t="s">
        <v>383</v>
      </c>
      <c r="J62" s="2" t="s">
        <v>384</v>
      </c>
      <c r="K62" s="2" t="s">
        <v>10</v>
      </c>
      <c r="L62" s="3">
        <v>46692</v>
      </c>
      <c r="M62" s="3">
        <v>45982</v>
      </c>
      <c r="N62" s="2" t="s">
        <v>21</v>
      </c>
      <c r="O62" s="2" t="s">
        <v>22</v>
      </c>
      <c r="P62" s="2">
        <v>125.84</v>
      </c>
      <c r="Q62" s="2">
        <v>2027</v>
      </c>
      <c r="R62" s="2" t="s">
        <v>12</v>
      </c>
      <c r="AB62" s="12"/>
      <c r="AC62" s="12"/>
      <c r="AE62" s="12"/>
      <c r="AF62" s="12"/>
      <c r="AG62" s="12"/>
    </row>
    <row r="63" spans="1:33" ht="15" customHeight="1" x14ac:dyDescent="0.3">
      <c r="A63" s="7">
        <v>46376</v>
      </c>
      <c r="B63" s="10">
        <f t="shared" si="0"/>
        <v>42507.339999999982</v>
      </c>
      <c r="C63" s="10">
        <v>41925.989999999983</v>
      </c>
      <c r="D63" s="10">
        <v>581.35</v>
      </c>
      <c r="E63" s="10">
        <v>0</v>
      </c>
      <c r="F63" s="10">
        <v>0</v>
      </c>
      <c r="H63" s="8"/>
      <c r="I63" s="4" t="s">
        <v>386</v>
      </c>
      <c r="J63" s="4" t="s">
        <v>387</v>
      </c>
      <c r="K63" s="4" t="s">
        <v>51</v>
      </c>
      <c r="L63" s="5">
        <v>46692</v>
      </c>
      <c r="M63" s="5">
        <v>45797</v>
      </c>
      <c r="N63" s="4" t="s">
        <v>21</v>
      </c>
      <c r="O63" s="4" t="s">
        <v>22</v>
      </c>
      <c r="P63" s="4">
        <v>100.6</v>
      </c>
      <c r="Q63" s="4">
        <v>2027</v>
      </c>
      <c r="R63" s="4" t="s">
        <v>12</v>
      </c>
      <c r="AB63" s="12"/>
      <c r="AC63" s="12"/>
      <c r="AE63" s="12"/>
      <c r="AF63" s="12"/>
      <c r="AG63" s="12"/>
    </row>
    <row r="64" spans="1:33" ht="15" customHeight="1" x14ac:dyDescent="0.3">
      <c r="A64" s="7">
        <v>46407</v>
      </c>
      <c r="B64" s="10">
        <f t="shared" si="0"/>
        <v>43123.239999999983</v>
      </c>
      <c r="C64" s="10">
        <v>41925.989999999983</v>
      </c>
      <c r="D64" s="10">
        <v>998.82</v>
      </c>
      <c r="E64" s="10">
        <v>198.43</v>
      </c>
      <c r="F64" s="10">
        <v>0</v>
      </c>
      <c r="H64" s="8"/>
      <c r="I64" s="2" t="s">
        <v>279</v>
      </c>
      <c r="J64" s="2" t="s">
        <v>280</v>
      </c>
      <c r="K64" s="2" t="s">
        <v>281</v>
      </c>
      <c r="L64" s="3">
        <v>46699</v>
      </c>
      <c r="M64" s="3">
        <v>45722</v>
      </c>
      <c r="N64" s="2" t="s">
        <v>21</v>
      </c>
      <c r="O64" s="2" t="s">
        <v>22</v>
      </c>
      <c r="P64" s="2">
        <v>101.5</v>
      </c>
      <c r="Q64" s="2">
        <v>2027</v>
      </c>
      <c r="R64" s="2" t="s">
        <v>12</v>
      </c>
      <c r="AB64" s="12"/>
      <c r="AC64" s="12"/>
      <c r="AE64" s="12"/>
      <c r="AF64" s="12"/>
      <c r="AG64" s="12"/>
    </row>
    <row r="65" spans="1:33" ht="15" customHeight="1" x14ac:dyDescent="0.3">
      <c r="A65" s="7">
        <v>46438</v>
      </c>
      <c r="B65" s="10">
        <f>SUM(C65:F65)</f>
        <v>43786.639999999985</v>
      </c>
      <c r="C65" s="10">
        <v>41925.989999999983</v>
      </c>
      <c r="D65" s="10">
        <v>1662.2200000000003</v>
      </c>
      <c r="E65" s="10">
        <v>198.43</v>
      </c>
      <c r="F65" s="10">
        <v>0</v>
      </c>
      <c r="H65" s="8"/>
      <c r="I65" s="4" t="s">
        <v>388</v>
      </c>
      <c r="J65" s="4" t="s">
        <v>389</v>
      </c>
      <c r="K65" s="4" t="s">
        <v>390</v>
      </c>
      <c r="L65" s="5">
        <v>46703</v>
      </c>
      <c r="M65" s="5">
        <v>45869</v>
      </c>
      <c r="N65" s="4" t="s">
        <v>21</v>
      </c>
      <c r="O65" s="4" t="s">
        <v>22</v>
      </c>
      <c r="P65" s="4">
        <v>148.16</v>
      </c>
      <c r="Q65" s="4">
        <v>2027</v>
      </c>
      <c r="R65" s="4" t="s">
        <v>12</v>
      </c>
      <c r="AB65" s="12"/>
      <c r="AC65" s="12"/>
      <c r="AE65" s="12"/>
      <c r="AF65" s="12"/>
      <c r="AG65" s="12"/>
    </row>
    <row r="66" spans="1:33" ht="15" customHeight="1" x14ac:dyDescent="0.3">
      <c r="A66" s="7">
        <v>46466</v>
      </c>
      <c r="B66" s="10">
        <f t="shared" si="0"/>
        <v>44371.649999999987</v>
      </c>
      <c r="C66" s="10">
        <v>41925.989999999983</v>
      </c>
      <c r="D66" s="10">
        <v>2247.2300000000005</v>
      </c>
      <c r="E66" s="10">
        <v>198.43</v>
      </c>
      <c r="F66" s="10">
        <v>0</v>
      </c>
      <c r="H66" s="8"/>
      <c r="I66" s="2" t="s">
        <v>391</v>
      </c>
      <c r="J66" s="2" t="s">
        <v>392</v>
      </c>
      <c r="K66" s="2" t="s">
        <v>95</v>
      </c>
      <c r="L66" s="3">
        <v>46721</v>
      </c>
      <c r="M66" s="3">
        <v>45839</v>
      </c>
      <c r="N66" s="2" t="s">
        <v>21</v>
      </c>
      <c r="O66" s="2" t="s">
        <v>22</v>
      </c>
      <c r="P66" s="2">
        <v>500</v>
      </c>
      <c r="Q66" s="2">
        <v>2027</v>
      </c>
      <c r="R66" s="2" t="s">
        <v>12</v>
      </c>
      <c r="AB66" s="12"/>
      <c r="AC66" s="12"/>
      <c r="AE66" s="12"/>
      <c r="AF66" s="12"/>
      <c r="AG66" s="12"/>
    </row>
    <row r="67" spans="1:33" ht="15" customHeight="1" x14ac:dyDescent="0.3">
      <c r="A67" s="7">
        <v>46497</v>
      </c>
      <c r="B67" s="10">
        <f t="shared" si="0"/>
        <v>45764.179999999986</v>
      </c>
      <c r="C67" s="10">
        <v>41925.989999999983</v>
      </c>
      <c r="D67" s="10">
        <v>3639.7600000000007</v>
      </c>
      <c r="E67" s="10">
        <v>198.43</v>
      </c>
      <c r="F67" s="10">
        <v>0</v>
      </c>
      <c r="H67" s="8"/>
      <c r="I67" s="4" t="s">
        <v>393</v>
      </c>
      <c r="J67" s="4" t="s">
        <v>394</v>
      </c>
      <c r="K67" s="4" t="s">
        <v>95</v>
      </c>
      <c r="L67" s="5">
        <v>46721</v>
      </c>
      <c r="M67" s="5">
        <v>45882</v>
      </c>
      <c r="N67" s="4" t="s">
        <v>21</v>
      </c>
      <c r="O67" s="4" t="s">
        <v>22</v>
      </c>
      <c r="P67" s="4">
        <v>500</v>
      </c>
      <c r="Q67" s="4">
        <v>2027</v>
      </c>
      <c r="R67" s="4" t="s">
        <v>12</v>
      </c>
      <c r="AB67" s="12"/>
      <c r="AC67" s="12"/>
      <c r="AE67" s="12"/>
      <c r="AF67" s="12"/>
      <c r="AG67" s="12"/>
    </row>
    <row r="68" spans="1:33" ht="15" customHeight="1" x14ac:dyDescent="0.3">
      <c r="A68" s="7">
        <v>46527</v>
      </c>
      <c r="B68" s="10">
        <f t="shared" si="0"/>
        <v>46762.699999999983</v>
      </c>
      <c r="C68" s="10">
        <v>41925.989999999983</v>
      </c>
      <c r="D68" s="10">
        <v>4638.2800000000007</v>
      </c>
      <c r="E68" s="10">
        <v>198.43</v>
      </c>
      <c r="F68" s="10">
        <v>0</v>
      </c>
      <c r="H68" s="8"/>
      <c r="I68" s="2" t="s">
        <v>429</v>
      </c>
      <c r="J68" s="2" t="s">
        <v>430</v>
      </c>
      <c r="K68" s="2" t="s">
        <v>431</v>
      </c>
      <c r="L68" s="3">
        <v>46722</v>
      </c>
      <c r="M68" s="3">
        <v>45539</v>
      </c>
      <c r="N68" s="2" t="s">
        <v>21</v>
      </c>
      <c r="O68" s="2" t="s">
        <v>22</v>
      </c>
      <c r="P68" s="2">
        <v>200.64</v>
      </c>
      <c r="Q68" s="2">
        <v>2027</v>
      </c>
      <c r="R68" s="2" t="s">
        <v>11</v>
      </c>
      <c r="AB68" s="12"/>
      <c r="AC68" s="12"/>
      <c r="AE68" s="12"/>
      <c r="AF68" s="12"/>
      <c r="AG68" s="12"/>
    </row>
    <row r="69" spans="1:33" ht="15" customHeight="1" x14ac:dyDescent="0.3">
      <c r="A69" s="7">
        <v>46558</v>
      </c>
      <c r="B69" s="10">
        <f t="shared" si="0"/>
        <v>48612.55999999999</v>
      </c>
      <c r="C69" s="10">
        <v>41925.989999999983</v>
      </c>
      <c r="D69" s="10">
        <v>6351.1600000000008</v>
      </c>
      <c r="E69" s="10">
        <v>335.40999999999997</v>
      </c>
      <c r="F69" s="10">
        <v>0</v>
      </c>
      <c r="H69" s="8"/>
      <c r="I69" s="4" t="s">
        <v>432</v>
      </c>
      <c r="J69" s="4" t="s">
        <v>433</v>
      </c>
      <c r="K69" s="4" t="s">
        <v>434</v>
      </c>
      <c r="L69" s="5">
        <v>46727</v>
      </c>
      <c r="M69" s="5">
        <v>45489</v>
      </c>
      <c r="N69" s="4" t="s">
        <v>21</v>
      </c>
      <c r="O69" s="4" t="s">
        <v>22</v>
      </c>
      <c r="P69" s="4">
        <v>261.67</v>
      </c>
      <c r="Q69" s="4">
        <v>2027</v>
      </c>
      <c r="R69" s="4" t="s">
        <v>12</v>
      </c>
      <c r="AB69" s="12"/>
      <c r="AC69" s="12"/>
      <c r="AE69" s="12"/>
      <c r="AF69" s="12"/>
      <c r="AG69" s="12"/>
    </row>
    <row r="70" spans="1:33" ht="15" customHeight="1" x14ac:dyDescent="0.3">
      <c r="A70" s="7">
        <v>46588</v>
      </c>
      <c r="B70" s="10">
        <f t="shared" si="0"/>
        <v>51188.859999999979</v>
      </c>
      <c r="C70" s="10">
        <v>41925.989999999983</v>
      </c>
      <c r="D70" s="10">
        <v>7786.2800000000007</v>
      </c>
      <c r="E70" s="10">
        <v>1476.59</v>
      </c>
      <c r="F70" s="10">
        <v>0</v>
      </c>
      <c r="H70" s="8"/>
      <c r="I70" s="2" t="s">
        <v>385</v>
      </c>
      <c r="J70" s="2" t="s">
        <v>435</v>
      </c>
      <c r="K70" s="2" t="s">
        <v>91</v>
      </c>
      <c r="L70" s="3">
        <v>46727</v>
      </c>
      <c r="M70" s="3">
        <v>45440</v>
      </c>
      <c r="N70" s="2" t="s">
        <v>21</v>
      </c>
      <c r="O70" s="2" t="s">
        <v>22</v>
      </c>
      <c r="P70" s="2">
        <v>181</v>
      </c>
      <c r="Q70" s="2">
        <v>2027</v>
      </c>
      <c r="R70" s="2" t="s">
        <v>12</v>
      </c>
      <c r="AB70" s="12"/>
      <c r="AC70" s="12"/>
      <c r="AE70" s="12"/>
      <c r="AF70" s="12"/>
      <c r="AG70" s="12"/>
    </row>
    <row r="71" spans="1:33" ht="15" customHeight="1" x14ac:dyDescent="0.3">
      <c r="A71" s="7">
        <v>46619</v>
      </c>
      <c r="B71" s="10">
        <f t="shared" si="0"/>
        <v>52533.969999999987</v>
      </c>
      <c r="C71" s="10">
        <v>41925.989999999983</v>
      </c>
      <c r="D71" s="10">
        <v>8910.44</v>
      </c>
      <c r="E71" s="10">
        <v>1697.54</v>
      </c>
      <c r="F71" s="10">
        <v>0</v>
      </c>
      <c r="H71" s="8"/>
      <c r="I71" s="4" t="s">
        <v>436</v>
      </c>
      <c r="J71" s="4" t="s">
        <v>437</v>
      </c>
      <c r="K71" s="4" t="s">
        <v>232</v>
      </c>
      <c r="L71" s="5">
        <v>46732</v>
      </c>
      <c r="M71" s="5">
        <v>44816</v>
      </c>
      <c r="N71" s="4" t="s">
        <v>21</v>
      </c>
      <c r="O71" s="4" t="s">
        <v>22</v>
      </c>
      <c r="P71" s="4">
        <v>300.87</v>
      </c>
      <c r="Q71" s="4">
        <v>2027</v>
      </c>
      <c r="R71" s="4" t="s">
        <v>12</v>
      </c>
      <c r="AB71" s="12"/>
      <c r="AC71" s="12"/>
      <c r="AE71" s="12"/>
      <c r="AF71" s="12"/>
      <c r="AG71" s="12"/>
    </row>
    <row r="72" spans="1:33" ht="15" customHeight="1" x14ac:dyDescent="0.3">
      <c r="A72" s="7">
        <v>46650</v>
      </c>
      <c r="B72" s="10">
        <f t="shared" si="0"/>
        <v>54268.159999999982</v>
      </c>
      <c r="C72" s="10">
        <v>41925.989999999983</v>
      </c>
      <c r="D72" s="10">
        <v>10493.99</v>
      </c>
      <c r="E72" s="10">
        <v>1848.1799999999998</v>
      </c>
      <c r="F72" s="10">
        <v>0</v>
      </c>
      <c r="H72" s="8"/>
      <c r="I72" s="2" t="s">
        <v>440</v>
      </c>
      <c r="J72" s="2" t="s">
        <v>441</v>
      </c>
      <c r="K72" s="2" t="s">
        <v>442</v>
      </c>
      <c r="L72" s="3">
        <v>46738</v>
      </c>
      <c r="M72" s="3">
        <v>45567</v>
      </c>
      <c r="N72" s="2" t="s">
        <v>21</v>
      </c>
      <c r="O72" s="2" t="s">
        <v>22</v>
      </c>
      <c r="P72" s="2">
        <v>627.80999999999995</v>
      </c>
      <c r="Q72" s="2">
        <v>2027</v>
      </c>
      <c r="R72" s="2" t="s">
        <v>12</v>
      </c>
      <c r="AB72" s="12"/>
      <c r="AC72" s="12"/>
      <c r="AE72" s="12"/>
      <c r="AF72" s="12"/>
      <c r="AG72" s="12"/>
    </row>
    <row r="73" spans="1:33" ht="15" customHeight="1" x14ac:dyDescent="0.3">
      <c r="A73" s="7">
        <v>46680</v>
      </c>
      <c r="B73" s="10">
        <f t="shared" si="0"/>
        <v>55613.669999999984</v>
      </c>
      <c r="C73" s="10">
        <v>41925.989999999983</v>
      </c>
      <c r="D73" s="10">
        <v>11336.78</v>
      </c>
      <c r="E73" s="10">
        <v>2350.8999999999996</v>
      </c>
      <c r="F73" s="10">
        <v>0</v>
      </c>
      <c r="H73" s="8"/>
      <c r="I73" s="4" t="s">
        <v>443</v>
      </c>
      <c r="J73" s="4" t="s">
        <v>444</v>
      </c>
      <c r="K73" s="4" t="s">
        <v>23</v>
      </c>
      <c r="L73" s="5">
        <v>46750</v>
      </c>
      <c r="M73" s="5">
        <v>45779</v>
      </c>
      <c r="N73" s="4" t="s">
        <v>21</v>
      </c>
      <c r="O73" s="4" t="s">
        <v>22</v>
      </c>
      <c r="P73" s="4">
        <v>351.78</v>
      </c>
      <c r="Q73" s="4">
        <v>2027</v>
      </c>
      <c r="R73" s="4" t="s">
        <v>12</v>
      </c>
      <c r="AB73" s="12"/>
      <c r="AC73" s="12"/>
      <c r="AE73" s="12"/>
      <c r="AF73" s="12"/>
      <c r="AG73" s="12"/>
    </row>
    <row r="74" spans="1:33" ht="15" customHeight="1" x14ac:dyDescent="0.3">
      <c r="A74" s="7">
        <v>46711</v>
      </c>
      <c r="B74" s="10">
        <f t="shared" si="0"/>
        <v>57089.769999999982</v>
      </c>
      <c r="C74" s="10">
        <v>41925.989999999983</v>
      </c>
      <c r="D74" s="10">
        <v>12812.880000000001</v>
      </c>
      <c r="E74" s="10">
        <v>2350.8999999999996</v>
      </c>
      <c r="F74" s="10">
        <v>0</v>
      </c>
      <c r="H74" s="8"/>
      <c r="I74" s="2" t="s">
        <v>445</v>
      </c>
      <c r="J74" s="2" t="s">
        <v>446</v>
      </c>
      <c r="K74" s="2" t="s">
        <v>447</v>
      </c>
      <c r="L74" s="3">
        <v>46750</v>
      </c>
      <c r="M74" s="3">
        <v>46020</v>
      </c>
      <c r="N74" s="2" t="s">
        <v>21</v>
      </c>
      <c r="O74" s="2" t="s">
        <v>22</v>
      </c>
      <c r="P74" s="2">
        <v>286.39999999999998</v>
      </c>
      <c r="Q74" s="2">
        <v>2027</v>
      </c>
      <c r="R74" s="2" t="s">
        <v>12</v>
      </c>
      <c r="AB74" s="12"/>
      <c r="AC74" s="12"/>
      <c r="AE74" s="12"/>
      <c r="AF74" s="12"/>
      <c r="AG74" s="12"/>
    </row>
    <row r="75" spans="1:33" ht="15" customHeight="1" x14ac:dyDescent="0.3">
      <c r="A75" s="7">
        <v>46741</v>
      </c>
      <c r="B75" s="10">
        <f t="shared" si="0"/>
        <v>61204.779999999984</v>
      </c>
      <c r="C75" s="10">
        <v>41925.989999999983</v>
      </c>
      <c r="D75" s="10">
        <v>16138.870000000003</v>
      </c>
      <c r="E75" s="10">
        <v>3139.9199999999996</v>
      </c>
      <c r="F75" s="10">
        <v>0</v>
      </c>
      <c r="H75" s="8"/>
      <c r="I75" s="4" t="s">
        <v>448</v>
      </c>
      <c r="J75" s="4" t="s">
        <v>449</v>
      </c>
      <c r="K75" s="4" t="s">
        <v>450</v>
      </c>
      <c r="L75" s="5">
        <v>46751</v>
      </c>
      <c r="M75" s="5">
        <v>45567</v>
      </c>
      <c r="N75" s="4" t="s">
        <v>21</v>
      </c>
      <c r="O75" s="4" t="s">
        <v>22</v>
      </c>
      <c r="P75" s="4">
        <v>80.38</v>
      </c>
      <c r="Q75" s="4">
        <v>2027</v>
      </c>
      <c r="R75" s="4" t="s">
        <v>11</v>
      </c>
      <c r="AB75" s="12"/>
      <c r="AC75" s="12"/>
      <c r="AE75" s="12"/>
      <c r="AF75" s="12"/>
      <c r="AG75" s="12"/>
    </row>
    <row r="76" spans="1:33" ht="15" customHeight="1" x14ac:dyDescent="0.3">
      <c r="A76" s="7">
        <v>46772</v>
      </c>
      <c r="B76" s="10">
        <f t="shared" si="0"/>
        <v>62383.449999999983</v>
      </c>
      <c r="C76" s="10">
        <v>41925.989999999983</v>
      </c>
      <c r="D76" s="10">
        <v>17001.040000000005</v>
      </c>
      <c r="E76" s="10">
        <v>3456.4199999999996</v>
      </c>
      <c r="F76" s="10">
        <v>0</v>
      </c>
      <c r="H76" s="8"/>
      <c r="I76" s="2" t="s">
        <v>451</v>
      </c>
      <c r="J76" s="2" t="s">
        <v>452</v>
      </c>
      <c r="K76" s="2" t="s">
        <v>453</v>
      </c>
      <c r="L76" s="3">
        <v>46752</v>
      </c>
      <c r="M76" s="3">
        <v>44593</v>
      </c>
      <c r="N76" s="2" t="s">
        <v>21</v>
      </c>
      <c r="O76" s="2" t="s">
        <v>22</v>
      </c>
      <c r="P76" s="2">
        <v>101.2</v>
      </c>
      <c r="Q76" s="2">
        <v>2027</v>
      </c>
      <c r="R76" s="2" t="s">
        <v>12</v>
      </c>
      <c r="AB76" s="12"/>
      <c r="AC76" s="12"/>
      <c r="AE76" s="12"/>
      <c r="AF76" s="12"/>
      <c r="AG76" s="12"/>
    </row>
    <row r="77" spans="1:33" ht="15" customHeight="1" x14ac:dyDescent="0.3">
      <c r="A77" s="7">
        <v>46803</v>
      </c>
      <c r="B77" s="10">
        <f t="shared" si="0"/>
        <v>62634.129999999983</v>
      </c>
      <c r="C77" s="10">
        <v>41925.989999999983</v>
      </c>
      <c r="D77" s="10">
        <v>17101.040000000005</v>
      </c>
      <c r="E77" s="10">
        <v>3607.0999999999995</v>
      </c>
      <c r="F77" s="10">
        <v>0</v>
      </c>
      <c r="H77" s="8"/>
      <c r="I77" s="4" t="s">
        <v>454</v>
      </c>
      <c r="J77" s="4" t="s">
        <v>455</v>
      </c>
      <c r="K77" s="4" t="s">
        <v>41</v>
      </c>
      <c r="L77" s="5">
        <v>46752</v>
      </c>
      <c r="M77" s="5">
        <v>45028</v>
      </c>
      <c r="N77" s="4" t="s">
        <v>21</v>
      </c>
      <c r="O77" s="4" t="s">
        <v>22</v>
      </c>
      <c r="P77" s="4">
        <v>502.46</v>
      </c>
      <c r="Q77" s="4">
        <v>2027</v>
      </c>
      <c r="R77" s="4" t="s">
        <v>12</v>
      </c>
      <c r="AB77" s="12"/>
      <c r="AC77" s="12"/>
      <c r="AE77" s="12"/>
      <c r="AF77" s="12"/>
      <c r="AG77" s="12"/>
    </row>
    <row r="78" spans="1:33" ht="15" customHeight="1" x14ac:dyDescent="0.3">
      <c r="B78" s="11"/>
      <c r="C78" s="11"/>
      <c r="D78" s="11"/>
      <c r="E78" s="11"/>
      <c r="F78" s="11"/>
      <c r="I78" s="2" t="s">
        <v>456</v>
      </c>
      <c r="J78" s="2" t="s">
        <v>457</v>
      </c>
      <c r="K78" s="2" t="s">
        <v>216</v>
      </c>
      <c r="L78" s="3">
        <v>46752</v>
      </c>
      <c r="M78" s="3">
        <v>46021</v>
      </c>
      <c r="N78" s="2" t="s">
        <v>21</v>
      </c>
      <c r="O78" s="2" t="s">
        <v>22</v>
      </c>
      <c r="P78" s="2">
        <v>508</v>
      </c>
      <c r="Q78" s="2">
        <v>2027</v>
      </c>
      <c r="R78" s="2" t="s">
        <v>11</v>
      </c>
    </row>
    <row r="79" spans="1:33" ht="15" customHeight="1" x14ac:dyDescent="0.3">
      <c r="B79" s="11"/>
      <c r="C79" s="11"/>
      <c r="E79" s="11"/>
      <c r="F79" s="11"/>
      <c r="I79" s="4" t="s">
        <v>458</v>
      </c>
      <c r="J79" s="4" t="s">
        <v>459</v>
      </c>
      <c r="K79" s="4" t="s">
        <v>25</v>
      </c>
      <c r="L79" s="5">
        <v>46752</v>
      </c>
      <c r="M79" s="5">
        <v>45497</v>
      </c>
      <c r="N79" s="4" t="s">
        <v>21</v>
      </c>
      <c r="O79" s="4" t="s">
        <v>22</v>
      </c>
      <c r="P79" s="4">
        <v>203.1</v>
      </c>
      <c r="Q79" s="4">
        <v>2027</v>
      </c>
      <c r="R79" s="4" t="s">
        <v>12</v>
      </c>
    </row>
    <row r="80" spans="1:33" ht="15" customHeight="1" x14ac:dyDescent="0.3">
      <c r="I80" s="2" t="s">
        <v>460</v>
      </c>
      <c r="J80" s="2" t="s">
        <v>461</v>
      </c>
      <c r="K80" s="2" t="s">
        <v>462</v>
      </c>
      <c r="L80" s="3">
        <v>46752</v>
      </c>
      <c r="M80" s="3">
        <v>46203</v>
      </c>
      <c r="N80" s="2" t="s">
        <v>21</v>
      </c>
      <c r="O80" s="2" t="s">
        <v>22</v>
      </c>
      <c r="P80" s="2">
        <v>108.5</v>
      </c>
      <c r="Q80" s="2">
        <v>2027</v>
      </c>
      <c r="R80" s="2" t="s">
        <v>12</v>
      </c>
    </row>
    <row r="81" spans="1:18" ht="15" customHeight="1" x14ac:dyDescent="0.3">
      <c r="I81" s="4" t="s">
        <v>463</v>
      </c>
      <c r="J81" s="4" t="s">
        <v>464</v>
      </c>
      <c r="K81" s="4" t="s">
        <v>465</v>
      </c>
      <c r="L81" s="5">
        <v>46752</v>
      </c>
      <c r="M81" s="5">
        <v>45703</v>
      </c>
      <c r="N81" s="4" t="s">
        <v>21</v>
      </c>
      <c r="O81" s="4" t="s">
        <v>22</v>
      </c>
      <c r="P81" s="4">
        <v>195.2</v>
      </c>
      <c r="Q81" s="4">
        <v>2027</v>
      </c>
      <c r="R81" s="4" t="s">
        <v>12</v>
      </c>
    </row>
    <row r="82" spans="1:18" ht="15" customHeight="1" x14ac:dyDescent="0.3">
      <c r="I82" s="2" t="s">
        <v>466</v>
      </c>
      <c r="J82" s="2" t="s">
        <v>467</v>
      </c>
      <c r="K82" s="2" t="s">
        <v>465</v>
      </c>
      <c r="L82" s="3">
        <v>46752</v>
      </c>
      <c r="M82" s="3">
        <v>45703</v>
      </c>
      <c r="N82" s="2" t="s">
        <v>21</v>
      </c>
      <c r="O82" s="2" t="s">
        <v>22</v>
      </c>
      <c r="P82" s="2">
        <v>206</v>
      </c>
      <c r="Q82" s="2">
        <v>2027</v>
      </c>
      <c r="R82" s="2" t="s">
        <v>12</v>
      </c>
    </row>
    <row r="83" spans="1:18" ht="15" customHeight="1" x14ac:dyDescent="0.3">
      <c r="I83" s="4" t="s">
        <v>496</v>
      </c>
      <c r="J83" s="4" t="s">
        <v>497</v>
      </c>
      <c r="K83" s="4" t="s">
        <v>498</v>
      </c>
      <c r="L83" s="5">
        <v>46753</v>
      </c>
      <c r="M83" s="5">
        <v>45993</v>
      </c>
      <c r="N83" s="4" t="s">
        <v>21</v>
      </c>
      <c r="O83" s="4" t="s">
        <v>22</v>
      </c>
      <c r="P83" s="4">
        <v>175.51</v>
      </c>
      <c r="Q83" s="4">
        <v>2028</v>
      </c>
      <c r="R83" s="4" t="s">
        <v>12</v>
      </c>
    </row>
    <row r="84" spans="1:18" ht="15" customHeight="1" x14ac:dyDescent="0.3">
      <c r="I84" s="2" t="s">
        <v>499</v>
      </c>
      <c r="J84" s="2" t="s">
        <v>500</v>
      </c>
      <c r="K84" s="2" t="s">
        <v>235</v>
      </c>
      <c r="L84" s="3">
        <v>46761</v>
      </c>
      <c r="M84" s="3">
        <v>45495</v>
      </c>
      <c r="N84" s="2" t="s">
        <v>21</v>
      </c>
      <c r="O84" s="2" t="s">
        <v>22</v>
      </c>
      <c r="P84" s="2">
        <v>171.9</v>
      </c>
      <c r="Q84" s="2">
        <v>2028</v>
      </c>
      <c r="R84" s="2" t="s">
        <v>11</v>
      </c>
    </row>
    <row r="85" spans="1:18" ht="15" customHeight="1" x14ac:dyDescent="0.3">
      <c r="I85" s="4" t="s">
        <v>438</v>
      </c>
      <c r="J85" s="4" t="s">
        <v>439</v>
      </c>
      <c r="K85" s="4" t="s">
        <v>62</v>
      </c>
      <c r="L85" s="5">
        <v>46767</v>
      </c>
      <c r="M85" s="5">
        <v>44200</v>
      </c>
      <c r="N85" s="4" t="s">
        <v>21</v>
      </c>
      <c r="O85" s="4" t="s">
        <v>22</v>
      </c>
      <c r="P85" s="4">
        <v>515.66</v>
      </c>
      <c r="Q85" s="4">
        <v>2028</v>
      </c>
      <c r="R85" s="4" t="s">
        <v>12</v>
      </c>
    </row>
    <row r="86" spans="1:18" ht="15" customHeight="1" x14ac:dyDescent="0.3">
      <c r="I86" s="2" t="s">
        <v>501</v>
      </c>
      <c r="J86" s="2" t="s">
        <v>502</v>
      </c>
      <c r="K86" s="2" t="s">
        <v>14</v>
      </c>
      <c r="L86" s="3">
        <v>46767</v>
      </c>
      <c r="M86" s="3">
        <v>45033</v>
      </c>
      <c r="N86" s="2" t="s">
        <v>21</v>
      </c>
      <c r="O86" s="2" t="s">
        <v>22</v>
      </c>
      <c r="P86" s="2">
        <v>171</v>
      </c>
      <c r="Q86" s="2">
        <v>2028</v>
      </c>
      <c r="R86" s="2" t="s">
        <v>12</v>
      </c>
    </row>
    <row r="87" spans="1:18" ht="15" customHeight="1" x14ac:dyDescent="0.3">
      <c r="I87" s="4" t="s">
        <v>503</v>
      </c>
      <c r="J87" s="4" t="s">
        <v>504</v>
      </c>
      <c r="K87" s="4" t="s">
        <v>118</v>
      </c>
      <c r="L87" s="5">
        <v>46780</v>
      </c>
      <c r="M87" s="5">
        <v>46070</v>
      </c>
      <c r="N87" s="4" t="s">
        <v>21</v>
      </c>
      <c r="O87" s="4" t="s">
        <v>22</v>
      </c>
      <c r="P87" s="4">
        <v>144.6</v>
      </c>
      <c r="Q87" s="4">
        <v>2028</v>
      </c>
      <c r="R87" s="4" t="s">
        <v>11</v>
      </c>
    </row>
    <row r="88" spans="1:18" ht="15" customHeight="1" x14ac:dyDescent="0.3">
      <c r="A88" s="7"/>
      <c r="B88" s="10"/>
      <c r="C88" s="10"/>
      <c r="D88" s="10"/>
      <c r="E88" s="10"/>
      <c r="F88" s="10"/>
      <c r="I88" s="2" t="s">
        <v>540</v>
      </c>
      <c r="J88" s="2" t="s">
        <v>541</v>
      </c>
      <c r="K88" s="2" t="s">
        <v>542</v>
      </c>
      <c r="L88" s="3">
        <v>46805</v>
      </c>
      <c r="M88" s="3">
        <v>44467</v>
      </c>
      <c r="N88" s="2" t="s">
        <v>21</v>
      </c>
      <c r="O88" s="2" t="s">
        <v>22</v>
      </c>
      <c r="P88" s="2">
        <v>100</v>
      </c>
      <c r="Q88" s="2">
        <v>2028</v>
      </c>
      <c r="R88" s="2" t="s">
        <v>12</v>
      </c>
    </row>
    <row r="89" spans="1:18" ht="15" customHeight="1" x14ac:dyDescent="0.3">
      <c r="A89" s="7"/>
      <c r="B89" s="10"/>
      <c r="C89" s="10"/>
      <c r="D89" s="10"/>
      <c r="E89" s="10"/>
      <c r="F89" s="10"/>
      <c r="I89" s="20" t="s">
        <v>543</v>
      </c>
      <c r="J89" s="20" t="s">
        <v>544</v>
      </c>
      <c r="K89" s="20" t="s">
        <v>14</v>
      </c>
      <c r="L89" s="21">
        <v>46812</v>
      </c>
      <c r="M89" s="21">
        <v>45785</v>
      </c>
      <c r="N89" s="20" t="s">
        <v>21</v>
      </c>
      <c r="O89" s="20" t="s">
        <v>22</v>
      </c>
      <c r="P89" s="20">
        <v>150.68</v>
      </c>
      <c r="Q89" s="20">
        <v>2028</v>
      </c>
      <c r="R89" s="20" t="s">
        <v>11</v>
      </c>
    </row>
    <row r="90" spans="1:18" ht="15" customHeight="1" x14ac:dyDescent="0.3">
      <c r="A90" s="7"/>
      <c r="B90" s="10"/>
      <c r="C90" s="10"/>
      <c r="D90" s="10"/>
      <c r="E90" s="10"/>
      <c r="F90" s="10"/>
    </row>
    <row r="91" spans="1:18" ht="15" customHeight="1" x14ac:dyDescent="0.3">
      <c r="A91" s="7"/>
      <c r="B91" s="10"/>
      <c r="C91" s="10"/>
      <c r="D91" s="10"/>
      <c r="E91" s="10"/>
      <c r="F91" s="10"/>
    </row>
    <row r="92" spans="1:18" ht="15" customHeight="1" x14ac:dyDescent="0.3">
      <c r="A92" s="7"/>
      <c r="B92" s="10"/>
      <c r="C92" s="10"/>
      <c r="D92" s="10"/>
      <c r="E92" s="10"/>
      <c r="F92" s="10"/>
    </row>
    <row r="93" spans="1:18" ht="15" customHeight="1" x14ac:dyDescent="0.3">
      <c r="A93" s="7"/>
      <c r="B93" s="10"/>
      <c r="C93" s="10"/>
      <c r="D93" s="10"/>
      <c r="E93" s="10"/>
      <c r="F93" s="10"/>
    </row>
    <row r="94" spans="1:18" ht="15" customHeight="1" x14ac:dyDescent="0.3">
      <c r="A94" s="7"/>
      <c r="B94" s="10"/>
      <c r="C94" s="10"/>
      <c r="D94" s="10"/>
      <c r="E94" s="10"/>
      <c r="F94" s="10"/>
    </row>
    <row r="95" spans="1:18" ht="15" customHeight="1" x14ac:dyDescent="0.3">
      <c r="A95" s="7"/>
      <c r="B95" s="10"/>
      <c r="C95" s="10"/>
      <c r="D95" s="10"/>
      <c r="E95" s="10"/>
      <c r="F95" s="10"/>
    </row>
    <row r="96" spans="1:18" ht="15" customHeight="1" x14ac:dyDescent="0.3">
      <c r="A96" s="7"/>
      <c r="B96" s="10"/>
      <c r="C96" s="10"/>
      <c r="D96" s="10"/>
      <c r="E96" s="10"/>
      <c r="F96" s="10"/>
    </row>
    <row r="97" spans="1:6" ht="15" customHeight="1" x14ac:dyDescent="0.3">
      <c r="A97" s="7"/>
      <c r="B97" s="10"/>
      <c r="C97" s="10"/>
      <c r="D97" s="10"/>
      <c r="E97" s="10"/>
      <c r="F97" s="10"/>
    </row>
    <row r="98" spans="1:6" ht="15" customHeight="1" x14ac:dyDescent="0.3">
      <c r="A98" s="7"/>
      <c r="B98" s="10"/>
      <c r="C98" s="10"/>
      <c r="D98" s="10"/>
      <c r="E98" s="10"/>
      <c r="F98" s="10"/>
    </row>
    <row r="99" spans="1:6" ht="15" customHeight="1" x14ac:dyDescent="0.3">
      <c r="A99" s="7"/>
      <c r="B99" s="10"/>
      <c r="C99" s="10"/>
      <c r="D99" s="10"/>
      <c r="E99" s="10"/>
      <c r="F99" s="10"/>
    </row>
    <row r="100" spans="1:6" ht="15" customHeight="1" x14ac:dyDescent="0.3">
      <c r="A100" s="7"/>
      <c r="B100" s="10"/>
      <c r="C100" s="10"/>
      <c r="D100" s="10"/>
      <c r="E100" s="10"/>
      <c r="F100" s="10"/>
    </row>
    <row r="101" spans="1:6" ht="15" customHeight="1" x14ac:dyDescent="0.3">
      <c r="A101" s="7"/>
      <c r="B101" s="10"/>
      <c r="C101" s="10"/>
      <c r="D101" s="10"/>
      <c r="E101" s="10"/>
      <c r="F101" s="10"/>
    </row>
    <row r="102" spans="1:6" ht="15" customHeight="1" x14ac:dyDescent="0.3">
      <c r="A102" s="7"/>
      <c r="B102" s="10"/>
      <c r="C102" s="10"/>
      <c r="D102" s="10"/>
      <c r="E102" s="10"/>
      <c r="F102" s="10"/>
    </row>
    <row r="103" spans="1:6" ht="15" customHeight="1" x14ac:dyDescent="0.3">
      <c r="A103" s="7"/>
      <c r="B103" s="10">
        <f>B99-B77</f>
        <v>-62634.129999999983</v>
      </c>
      <c r="C103" s="10"/>
      <c r="D103" s="10"/>
      <c r="E103" s="10"/>
      <c r="F103" s="10"/>
    </row>
    <row r="104" spans="1:6" ht="15" customHeight="1" x14ac:dyDescent="0.3">
      <c r="A104" s="7"/>
      <c r="B104" s="10"/>
      <c r="C104" s="10"/>
      <c r="D104" s="10"/>
      <c r="E104" s="10"/>
      <c r="F104" s="10"/>
    </row>
    <row r="105" spans="1:6" ht="15" customHeight="1" x14ac:dyDescent="0.3">
      <c r="B105" s="11"/>
      <c r="C105" s="11"/>
      <c r="D105" s="11"/>
      <c r="E105" s="11"/>
      <c r="F105" s="11"/>
    </row>
    <row r="106" spans="1:6" ht="15" customHeight="1" x14ac:dyDescent="0.3">
      <c r="B106" s="11"/>
      <c r="C106" s="11"/>
      <c r="D106" s="11"/>
      <c r="E106" s="11"/>
      <c r="F106" s="11"/>
    </row>
    <row r="107" spans="1:6" ht="15" customHeight="1" x14ac:dyDescent="0.3">
      <c r="B107" s="11"/>
      <c r="C107" s="11"/>
      <c r="D107" s="11"/>
      <c r="E107" s="11"/>
      <c r="F107" s="11"/>
    </row>
    <row r="108" spans="1:6" ht="15" customHeight="1" x14ac:dyDescent="0.3">
      <c r="B108" s="13"/>
      <c r="C108" s="13"/>
      <c r="D108" s="13"/>
      <c r="E108" s="13"/>
      <c r="F108" s="13"/>
    </row>
    <row r="109" spans="1:6" ht="15" customHeight="1" x14ac:dyDescent="0.3">
      <c r="B109" s="13"/>
      <c r="C109" s="13"/>
      <c r="D109" s="13"/>
      <c r="E109" s="13"/>
      <c r="F109" s="13"/>
    </row>
    <row r="110" spans="1:6" ht="15" customHeight="1" x14ac:dyDescent="0.3">
      <c r="B110" s="13"/>
      <c r="C110" s="13"/>
      <c r="D110" s="13"/>
      <c r="E110" s="13"/>
      <c r="F110" s="13"/>
    </row>
    <row r="111" spans="1:6" ht="15" customHeight="1" x14ac:dyDescent="0.3">
      <c r="B111" s="13"/>
      <c r="C111" s="13"/>
      <c r="D111" s="13"/>
      <c r="E111" s="13"/>
      <c r="F111" s="13"/>
    </row>
    <row r="112" spans="1:6" ht="15" customHeight="1" x14ac:dyDescent="0.3">
      <c r="B112" s="13"/>
      <c r="C112" s="13"/>
      <c r="D112" s="13"/>
      <c r="E112" s="13"/>
      <c r="F112" s="13"/>
    </row>
    <row r="113" spans="2:7" ht="15" customHeight="1" x14ac:dyDescent="0.3">
      <c r="B113" s="13"/>
      <c r="C113" s="13"/>
      <c r="D113" s="13"/>
      <c r="E113" s="13"/>
      <c r="F113" s="13"/>
    </row>
    <row r="114" spans="2:7" ht="15" customHeight="1" x14ac:dyDescent="0.3">
      <c r="B114" s="13"/>
      <c r="C114" s="13"/>
      <c r="D114" s="13"/>
      <c r="E114" s="13"/>
      <c r="F114" s="13"/>
    </row>
    <row r="115" spans="2:7" ht="15" customHeight="1" x14ac:dyDescent="0.3">
      <c r="B115" s="13"/>
      <c r="C115" s="13"/>
      <c r="D115" s="13"/>
      <c r="E115" s="13"/>
      <c r="F115" s="13"/>
    </row>
    <row r="116" spans="2:7" ht="15" customHeight="1" x14ac:dyDescent="0.3">
      <c r="B116" s="13"/>
      <c r="C116" s="13"/>
      <c r="D116" s="13"/>
      <c r="E116" s="13"/>
      <c r="F116" s="13"/>
    </row>
    <row r="117" spans="2:7" ht="15" customHeight="1" x14ac:dyDescent="0.3">
      <c r="B117" s="13"/>
      <c r="C117" s="13"/>
      <c r="D117" s="13"/>
      <c r="E117" s="13"/>
      <c r="F117" s="13"/>
    </row>
    <row r="118" spans="2:7" ht="15" customHeight="1" x14ac:dyDescent="0.3">
      <c r="B118" s="13"/>
      <c r="C118" s="13"/>
      <c r="D118" s="13"/>
      <c r="E118" s="13"/>
      <c r="F118" s="13"/>
    </row>
    <row r="119" spans="2:7" ht="15" customHeight="1" x14ac:dyDescent="0.3">
      <c r="B119" s="13"/>
      <c r="C119" s="13"/>
      <c r="D119" s="13"/>
      <c r="E119" s="13"/>
      <c r="F119" s="13"/>
    </row>
    <row r="120" spans="2:7" ht="15" customHeight="1" x14ac:dyDescent="0.3">
      <c r="B120" s="13"/>
      <c r="C120" s="13"/>
      <c r="D120" s="13"/>
      <c r="E120" s="13"/>
      <c r="F120" s="13"/>
    </row>
    <row r="121" spans="2:7" ht="15" customHeight="1" x14ac:dyDescent="0.3">
      <c r="B121" s="13"/>
      <c r="C121" s="13"/>
      <c r="D121" s="13"/>
      <c r="E121" s="13"/>
      <c r="F121" s="13"/>
    </row>
    <row r="122" spans="2:7" ht="15" customHeight="1" x14ac:dyDescent="0.3">
      <c r="B122" s="13"/>
      <c r="C122" s="13"/>
      <c r="D122" s="13"/>
      <c r="E122" s="13"/>
      <c r="F122" s="13"/>
    </row>
    <row r="123" spans="2:7" ht="15" customHeight="1" x14ac:dyDescent="0.3">
      <c r="B123" s="13"/>
      <c r="C123" s="13"/>
      <c r="D123" s="13"/>
      <c r="E123" s="13"/>
      <c r="F123" s="13"/>
    </row>
    <row r="124" spans="2:7" ht="15" customHeight="1" x14ac:dyDescent="0.3">
      <c r="B124" s="13"/>
      <c r="C124" s="13"/>
      <c r="D124" s="13"/>
      <c r="E124" s="13"/>
      <c r="F124" s="13"/>
    </row>
    <row r="125" spans="2:7" ht="15" customHeight="1" x14ac:dyDescent="0.3">
      <c r="B125" s="13"/>
      <c r="C125" s="13"/>
      <c r="D125" s="13"/>
      <c r="E125" s="13"/>
      <c r="F125" s="13"/>
    </row>
    <row r="126" spans="2:7" ht="15" customHeight="1" x14ac:dyDescent="0.3">
      <c r="B126" s="11"/>
      <c r="C126" s="11"/>
      <c r="D126" s="11"/>
      <c r="E126" s="11"/>
      <c r="F126" s="11"/>
      <c r="G126" s="11"/>
    </row>
    <row r="127" spans="2:7" ht="15" customHeight="1" x14ac:dyDescent="0.3">
      <c r="B127" s="11"/>
      <c r="C127" s="11"/>
      <c r="D127" s="11"/>
      <c r="E127" s="11"/>
      <c r="F127" s="11"/>
      <c r="G127" s="11"/>
    </row>
    <row r="128" spans="2:7" ht="15" customHeight="1" x14ac:dyDescent="0.3">
      <c r="B128" s="11"/>
      <c r="C128" s="11"/>
      <c r="D128" s="11"/>
      <c r="E128" s="11"/>
      <c r="F128" s="11"/>
      <c r="G128" s="11"/>
    </row>
    <row r="129" spans="2:7" ht="15" customHeight="1" x14ac:dyDescent="0.3">
      <c r="B129" s="11"/>
      <c r="C129" s="11"/>
      <c r="D129" s="11"/>
      <c r="E129" s="11"/>
      <c r="F129" s="11"/>
      <c r="G129" s="11"/>
    </row>
    <row r="130" spans="2:7" ht="15" customHeight="1" x14ac:dyDescent="0.3">
      <c r="B130" s="11"/>
      <c r="C130" s="11"/>
      <c r="D130" s="11"/>
      <c r="E130" s="11"/>
      <c r="F130" s="11"/>
      <c r="G130" s="11"/>
    </row>
    <row r="131" spans="2:7" ht="15" customHeight="1" x14ac:dyDescent="0.3">
      <c r="B131" s="11"/>
      <c r="C131" s="11"/>
      <c r="D131" s="11"/>
      <c r="E131" s="11"/>
      <c r="F131" s="11"/>
      <c r="G131" s="11"/>
    </row>
    <row r="132" spans="2:7" ht="15" customHeight="1" x14ac:dyDescent="0.3">
      <c r="B132" s="11"/>
      <c r="C132" s="11"/>
      <c r="D132" s="11"/>
      <c r="E132" s="11"/>
      <c r="F132" s="11"/>
      <c r="G132" s="11"/>
    </row>
    <row r="133" spans="2:7" ht="15" customHeight="1" x14ac:dyDescent="0.3">
      <c r="B133" s="11"/>
      <c r="C133" s="11"/>
      <c r="D133" s="11"/>
      <c r="E133" s="11"/>
      <c r="F133" s="11"/>
      <c r="G133" s="11"/>
    </row>
    <row r="134" spans="2:7" ht="15" customHeight="1" x14ac:dyDescent="0.3">
      <c r="B134" s="11"/>
      <c r="C134" s="11"/>
      <c r="D134" s="11"/>
      <c r="E134" s="11"/>
      <c r="F134" s="11"/>
      <c r="G134" s="11"/>
    </row>
    <row r="135" spans="2:7" ht="15" customHeight="1" x14ac:dyDescent="0.3">
      <c r="B135" s="11"/>
      <c r="C135" s="11"/>
      <c r="D135" s="11"/>
      <c r="E135" s="11"/>
      <c r="F135" s="11"/>
      <c r="G135" s="11"/>
    </row>
    <row r="136" spans="2:7" ht="15" customHeight="1" x14ac:dyDescent="0.3">
      <c r="B136" s="11"/>
      <c r="C136" s="11"/>
      <c r="D136" s="11"/>
      <c r="E136" s="11"/>
      <c r="F136" s="11"/>
      <c r="G136" s="11"/>
    </row>
    <row r="137" spans="2:7" ht="15" customHeight="1" x14ac:dyDescent="0.3">
      <c r="B137" s="11"/>
      <c r="C137" s="11"/>
      <c r="D137" s="11"/>
      <c r="E137" s="11"/>
      <c r="F137" s="11"/>
      <c r="G137" s="11"/>
    </row>
    <row r="138" spans="2:7" ht="15" customHeight="1" x14ac:dyDescent="0.3">
      <c r="B138" s="11"/>
      <c r="C138" s="11"/>
      <c r="D138" s="11"/>
      <c r="E138" s="11"/>
      <c r="F138" s="11"/>
      <c r="G138" s="11"/>
    </row>
    <row r="139" spans="2:7" ht="15" customHeight="1" x14ac:dyDescent="0.3">
      <c r="B139" s="11"/>
      <c r="C139" s="11"/>
      <c r="D139" s="11"/>
      <c r="E139" s="11"/>
      <c r="F139" s="11"/>
      <c r="G139" s="11"/>
    </row>
    <row r="140" spans="2:7" ht="15" customHeight="1" x14ac:dyDescent="0.3">
      <c r="B140" s="11"/>
      <c r="C140" s="11"/>
      <c r="D140" s="11"/>
      <c r="E140" s="11"/>
      <c r="F140" s="11"/>
      <c r="G140" s="11"/>
    </row>
    <row r="141" spans="2:7" ht="15" customHeight="1" x14ac:dyDescent="0.3">
      <c r="B141" s="11"/>
      <c r="C141" s="11"/>
      <c r="D141" s="11"/>
      <c r="E141" s="11"/>
      <c r="F141" s="11"/>
      <c r="G141" s="11"/>
    </row>
    <row r="142" spans="2:7" ht="15" customHeight="1" x14ac:dyDescent="0.3">
      <c r="B142" s="11"/>
      <c r="C142" s="11"/>
      <c r="D142" s="11"/>
      <c r="E142" s="11"/>
      <c r="F142" s="11"/>
      <c r="G142" s="11"/>
    </row>
    <row r="143" spans="2:7" ht="15" customHeight="1" x14ac:dyDescent="0.3">
      <c r="B143" s="11"/>
      <c r="C143" s="11"/>
      <c r="D143" s="11"/>
      <c r="E143" s="11"/>
      <c r="F143" s="11"/>
      <c r="G143" s="11"/>
    </row>
    <row r="144" spans="2:7" ht="15" customHeight="1" x14ac:dyDescent="0.3">
      <c r="B144" s="11"/>
      <c r="C144" s="11"/>
      <c r="D144" s="11"/>
      <c r="E144" s="11"/>
      <c r="F144" s="11"/>
      <c r="G144" s="11"/>
    </row>
    <row r="145" spans="2:7" ht="15" customHeight="1" x14ac:dyDescent="0.3">
      <c r="B145" s="11"/>
      <c r="C145" s="11"/>
      <c r="D145" s="11"/>
      <c r="E145" s="11"/>
      <c r="F145" s="11"/>
      <c r="G145" s="11"/>
    </row>
    <row r="146" spans="2:7" ht="15" customHeight="1" x14ac:dyDescent="0.3">
      <c r="B146" s="11"/>
      <c r="C146" s="11"/>
      <c r="D146" s="11"/>
      <c r="E146" s="11"/>
      <c r="F146" s="11"/>
      <c r="G146" s="11"/>
    </row>
    <row r="147" spans="2:7" ht="15" customHeight="1" x14ac:dyDescent="0.3">
      <c r="B147" s="11"/>
      <c r="C147" s="11"/>
      <c r="D147" s="11"/>
      <c r="E147" s="11"/>
      <c r="F147" s="11"/>
      <c r="G147" s="11"/>
    </row>
    <row r="148" spans="2:7" ht="15" customHeight="1" x14ac:dyDescent="0.3">
      <c r="B148" s="11"/>
      <c r="C148" s="11"/>
      <c r="D148" s="11"/>
      <c r="E148" s="11"/>
      <c r="F148" s="11"/>
      <c r="G148" s="11"/>
    </row>
    <row r="162" spans="2:7" ht="15" customHeight="1" x14ac:dyDescent="0.3">
      <c r="B162" s="11"/>
      <c r="C162" s="11"/>
      <c r="D162" s="11"/>
      <c r="E162" s="11"/>
      <c r="F162" s="11"/>
      <c r="G162" s="11"/>
    </row>
    <row r="163" spans="2:7" ht="15" customHeight="1" x14ac:dyDescent="0.3">
      <c r="B163" s="11"/>
      <c r="C163" s="11"/>
      <c r="D163" s="11"/>
      <c r="E163" s="11"/>
      <c r="F163" s="11"/>
      <c r="G163" s="11"/>
    </row>
    <row r="164" spans="2:7" ht="15" customHeight="1" x14ac:dyDescent="0.3">
      <c r="B164" s="11"/>
      <c r="C164" s="11"/>
      <c r="D164" s="11"/>
      <c r="E164" s="11"/>
      <c r="F164" s="11"/>
      <c r="G164" s="11"/>
    </row>
    <row r="165" spans="2:7" ht="15" customHeight="1" x14ac:dyDescent="0.3">
      <c r="B165" s="11"/>
      <c r="C165" s="11"/>
      <c r="D165" s="11"/>
      <c r="E165" s="11"/>
      <c r="F165" s="11"/>
      <c r="G165" s="11"/>
    </row>
    <row r="166" spans="2:7" ht="15" customHeight="1" x14ac:dyDescent="0.3">
      <c r="B166" s="11"/>
      <c r="C166" s="11"/>
      <c r="D166" s="11"/>
      <c r="E166" s="11"/>
      <c r="F166" s="11"/>
      <c r="G166" s="11"/>
    </row>
    <row r="167" spans="2:7" ht="15" customHeight="1" x14ac:dyDescent="0.3">
      <c r="B167" s="11"/>
      <c r="C167" s="11"/>
      <c r="D167" s="11"/>
      <c r="E167" s="11"/>
      <c r="F167" s="11"/>
      <c r="G167" s="11"/>
    </row>
    <row r="168" spans="2:7" ht="15" customHeight="1" x14ac:dyDescent="0.3">
      <c r="B168" s="11"/>
      <c r="C168" s="11"/>
      <c r="D168" s="11"/>
      <c r="E168" s="11"/>
      <c r="F168" s="11"/>
      <c r="G168" s="11"/>
    </row>
    <row r="169" spans="2:7" ht="15" customHeight="1" x14ac:dyDescent="0.3">
      <c r="B169" s="11"/>
      <c r="C169" s="11"/>
      <c r="D169" s="11"/>
      <c r="E169" s="11"/>
      <c r="F169" s="11"/>
      <c r="G169" s="11"/>
    </row>
    <row r="170" spans="2:7" ht="15" customHeight="1" x14ac:dyDescent="0.3">
      <c r="B170" s="11"/>
      <c r="C170" s="11"/>
      <c r="D170" s="11"/>
      <c r="E170" s="11"/>
      <c r="F170" s="11"/>
      <c r="G170" s="11"/>
    </row>
    <row r="171" spans="2:7" ht="15" customHeight="1" x14ac:dyDescent="0.3">
      <c r="B171" s="11"/>
      <c r="C171" s="11"/>
      <c r="D171" s="11"/>
      <c r="E171" s="11"/>
      <c r="F171" s="11"/>
      <c r="G171" s="11"/>
    </row>
    <row r="172" spans="2:7" ht="15" customHeight="1" x14ac:dyDescent="0.3">
      <c r="B172" s="11"/>
      <c r="C172" s="11"/>
      <c r="D172" s="11"/>
      <c r="E172" s="11"/>
      <c r="F172" s="11"/>
      <c r="G172" s="11"/>
    </row>
    <row r="173" spans="2:7" ht="15" customHeight="1" x14ac:dyDescent="0.3">
      <c r="B173" s="11"/>
      <c r="C173" s="11"/>
      <c r="D173" s="11"/>
      <c r="E173" s="11"/>
      <c r="F173" s="11"/>
      <c r="G173" s="11"/>
    </row>
    <row r="174" spans="2:7" ht="15" customHeight="1" x14ac:dyDescent="0.3">
      <c r="B174" s="11"/>
      <c r="C174" s="11"/>
      <c r="D174" s="11"/>
      <c r="E174" s="11"/>
      <c r="F174" s="11"/>
      <c r="G174" s="11"/>
    </row>
    <row r="175" spans="2:7" ht="15" customHeight="1" x14ac:dyDescent="0.3">
      <c r="B175" s="11"/>
      <c r="C175" s="11"/>
      <c r="D175" s="11"/>
      <c r="E175" s="11"/>
      <c r="F175" s="11"/>
      <c r="G175" s="11"/>
    </row>
    <row r="176" spans="2:7" ht="15" customHeight="1" x14ac:dyDescent="0.3">
      <c r="B176" s="11"/>
      <c r="C176" s="11"/>
      <c r="D176" s="11"/>
      <c r="E176" s="11"/>
      <c r="F176" s="11"/>
      <c r="G176" s="11"/>
    </row>
    <row r="177" spans="2:7" ht="15" customHeight="1" x14ac:dyDescent="0.3">
      <c r="B177" s="11"/>
      <c r="C177" s="11"/>
      <c r="D177" s="11"/>
      <c r="E177" s="11"/>
      <c r="F177" s="11"/>
      <c r="G177" s="11"/>
    </row>
    <row r="178" spans="2:7" ht="15" customHeight="1" x14ac:dyDescent="0.3">
      <c r="B178" s="11"/>
      <c r="C178" s="11"/>
      <c r="D178" s="11"/>
      <c r="E178" s="11"/>
      <c r="F178" s="11"/>
      <c r="G178" s="11"/>
    </row>
    <row r="179" spans="2:7" ht="15" customHeight="1" x14ac:dyDescent="0.3">
      <c r="B179" s="11"/>
      <c r="C179" s="11"/>
      <c r="D179" s="11"/>
      <c r="E179" s="11"/>
      <c r="F179" s="11"/>
      <c r="G179" s="11"/>
    </row>
    <row r="180" spans="2:7" ht="15" customHeight="1" x14ac:dyDescent="0.3">
      <c r="B180" s="11"/>
      <c r="C180" s="11"/>
      <c r="D180" s="11"/>
      <c r="E180" s="11"/>
      <c r="F180" s="11"/>
      <c r="G180" s="11"/>
    </row>
    <row r="181" spans="2:7" ht="15" customHeight="1" x14ac:dyDescent="0.3">
      <c r="B181" s="11"/>
      <c r="C181" s="11"/>
      <c r="D181" s="11"/>
      <c r="E181" s="11"/>
      <c r="F181" s="11"/>
      <c r="G181" s="11"/>
    </row>
    <row r="182" spans="2:7" ht="15" customHeight="1" x14ac:dyDescent="0.3">
      <c r="B182" s="11"/>
      <c r="C182" s="11"/>
      <c r="D182" s="11"/>
      <c r="E182" s="11"/>
      <c r="F182" s="11"/>
      <c r="G182" s="11"/>
    </row>
    <row r="183" spans="2:7" ht="15" customHeight="1" x14ac:dyDescent="0.3">
      <c r="B183" s="11"/>
      <c r="C183" s="11"/>
      <c r="D183" s="11"/>
      <c r="E183" s="11"/>
      <c r="F183" s="11"/>
      <c r="G183" s="11"/>
    </row>
    <row r="184" spans="2:7" ht="15" customHeight="1" x14ac:dyDescent="0.3">
      <c r="B184" s="11"/>
      <c r="C184" s="11"/>
      <c r="D184" s="11"/>
      <c r="E184" s="11"/>
      <c r="F184" s="11"/>
      <c r="G184" s="11"/>
    </row>
    <row r="185" spans="2:7" ht="15" customHeight="1" x14ac:dyDescent="0.3">
      <c r="B185" s="11"/>
      <c r="C185" s="11"/>
      <c r="D185" s="11"/>
      <c r="E185" s="11"/>
      <c r="F185" s="11"/>
      <c r="G185" s="11"/>
    </row>
    <row r="186" spans="2:7" ht="15" customHeight="1" x14ac:dyDescent="0.3">
      <c r="B186" s="11"/>
      <c r="C186" s="11"/>
      <c r="D186" s="11"/>
      <c r="E186" s="11"/>
      <c r="F186" s="11"/>
      <c r="G186" s="11"/>
    </row>
    <row r="187" spans="2:7" ht="15" customHeight="1" x14ac:dyDescent="0.3">
      <c r="B187" s="11"/>
      <c r="C187" s="11"/>
      <c r="D187" s="11"/>
      <c r="E187" s="11"/>
      <c r="F187" s="11"/>
      <c r="G187" s="11"/>
    </row>
    <row r="188" spans="2:7" ht="15" customHeight="1" x14ac:dyDescent="0.3">
      <c r="B188" s="11"/>
      <c r="C188" s="11"/>
      <c r="D188" s="11"/>
      <c r="E188" s="11"/>
      <c r="F188" s="11"/>
      <c r="G188" s="11"/>
    </row>
  </sheetData>
  <pageMargins left="0.7" right="0.7" top="0.75" bottom="0.75" header="0.3" footer="0.3"/>
  <pageSetup scale="4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9">
    <tabColor theme="4"/>
  </sheetPr>
  <dimension ref="A1:U135"/>
  <sheetViews>
    <sheetView showGridLines="0" zoomScale="80" zoomScaleNormal="80" workbookViewId="0">
      <selection activeCell="G1" sqref="G1"/>
    </sheetView>
  </sheetViews>
  <sheetFormatPr defaultRowHeight="15" customHeight="1" x14ac:dyDescent="0.3"/>
  <cols>
    <col min="1" max="1" width="11.33203125" bestFit="1" customWidth="1"/>
    <col min="2" max="2" width="47.44140625" bestFit="1" customWidth="1"/>
    <col min="3" max="3" width="26.6640625" bestFit="1" customWidth="1"/>
    <col min="4" max="4" width="38.6640625" customWidth="1"/>
    <col min="5" max="5" width="38.109375" bestFit="1" customWidth="1"/>
    <col min="6" max="6" width="27.44140625" bestFit="1" customWidth="1"/>
    <col min="7" max="7" width="15.44140625" customWidth="1"/>
    <col min="9" max="9" width="16.21875" bestFit="1" customWidth="1"/>
    <col min="10" max="10" width="35" bestFit="1" customWidth="1"/>
    <col min="11" max="11" width="11.6640625" bestFit="1" customWidth="1"/>
    <col min="12" max="12" width="13.44140625" style="8" bestFit="1" customWidth="1"/>
    <col min="13" max="13" width="11.21875" style="8" bestFit="1" customWidth="1"/>
    <col min="14" max="14" width="7.77734375" bestFit="1" customWidth="1"/>
    <col min="15" max="15" width="11" bestFit="1" customWidth="1"/>
    <col min="16" max="16" width="14.109375" bestFit="1" customWidth="1"/>
    <col min="17" max="17" width="5.44140625" bestFit="1" customWidth="1"/>
    <col min="18" max="18" width="16.5546875" bestFit="1" customWidth="1"/>
  </cols>
  <sheetData>
    <row r="1" spans="9:18" ht="15" customHeight="1" x14ac:dyDescent="0.3">
      <c r="I1" s="1" t="s">
        <v>0</v>
      </c>
      <c r="J1" s="1" t="s">
        <v>1</v>
      </c>
      <c r="K1" s="1" t="s">
        <v>2</v>
      </c>
      <c r="L1" s="1" t="s">
        <v>3</v>
      </c>
      <c r="M1" s="1" t="s">
        <v>4</v>
      </c>
      <c r="N1" s="1" t="s">
        <v>5</v>
      </c>
      <c r="O1" s="1" t="s">
        <v>6</v>
      </c>
      <c r="P1" s="1" t="s">
        <v>7</v>
      </c>
      <c r="Q1" s="1" t="s">
        <v>8</v>
      </c>
      <c r="R1" s="1" t="s">
        <v>9</v>
      </c>
    </row>
    <row r="2" spans="9:18" ht="15" customHeight="1" x14ac:dyDescent="0.3">
      <c r="I2" s="2" t="s">
        <v>105</v>
      </c>
      <c r="J2" s="2" t="s">
        <v>106</v>
      </c>
      <c r="K2" s="2" t="s">
        <v>107</v>
      </c>
      <c r="L2" s="3">
        <v>46006</v>
      </c>
      <c r="M2" s="3">
        <v>45777</v>
      </c>
      <c r="N2" s="2" t="s">
        <v>18</v>
      </c>
      <c r="O2" s="2" t="s">
        <v>19</v>
      </c>
      <c r="P2" s="2">
        <v>133</v>
      </c>
      <c r="Q2" s="2">
        <v>2025</v>
      </c>
      <c r="R2" s="2" t="s">
        <v>11</v>
      </c>
    </row>
    <row r="3" spans="9:18" ht="15" customHeight="1" x14ac:dyDescent="0.3">
      <c r="I3" s="4" t="s">
        <v>112</v>
      </c>
      <c r="J3" s="4" t="s">
        <v>113</v>
      </c>
      <c r="K3" s="4" t="s">
        <v>49</v>
      </c>
      <c r="L3" s="5">
        <v>46296</v>
      </c>
      <c r="M3" s="5">
        <v>45826</v>
      </c>
      <c r="N3" s="4" t="s">
        <v>18</v>
      </c>
      <c r="O3" s="4" t="s">
        <v>19</v>
      </c>
      <c r="P3" s="4">
        <v>203.62</v>
      </c>
      <c r="Q3" s="4">
        <v>2026</v>
      </c>
      <c r="R3" s="4" t="s">
        <v>12</v>
      </c>
    </row>
    <row r="4" spans="9:18" ht="15" customHeight="1" x14ac:dyDescent="0.3">
      <c r="I4" s="2" t="s">
        <v>131</v>
      </c>
      <c r="J4" s="2" t="s">
        <v>132</v>
      </c>
      <c r="K4" s="2" t="s">
        <v>133</v>
      </c>
      <c r="L4" s="3">
        <v>46326</v>
      </c>
      <c r="M4" s="3">
        <v>45469</v>
      </c>
      <c r="N4" s="2" t="s">
        <v>18</v>
      </c>
      <c r="O4" s="2" t="s">
        <v>19</v>
      </c>
      <c r="P4" s="2">
        <v>201.15</v>
      </c>
      <c r="Q4" s="2">
        <v>2026</v>
      </c>
      <c r="R4" s="2" t="s">
        <v>12</v>
      </c>
    </row>
    <row r="5" spans="9:18" ht="15" customHeight="1" x14ac:dyDescent="0.3">
      <c r="I5" s="4" t="s">
        <v>145</v>
      </c>
      <c r="J5" s="4" t="s">
        <v>146</v>
      </c>
      <c r="K5" s="4" t="s">
        <v>95</v>
      </c>
      <c r="L5" s="5">
        <v>46338</v>
      </c>
      <c r="M5" s="5">
        <v>45882</v>
      </c>
      <c r="N5" s="4" t="s">
        <v>18</v>
      </c>
      <c r="O5" s="4" t="s">
        <v>19</v>
      </c>
      <c r="P5" s="4">
        <v>500</v>
      </c>
      <c r="Q5" s="4">
        <v>2026</v>
      </c>
      <c r="R5" s="4" t="s">
        <v>11</v>
      </c>
    </row>
    <row r="6" spans="9:18" ht="15" customHeight="1" x14ac:dyDescent="0.3">
      <c r="I6" s="2" t="s">
        <v>507</v>
      </c>
      <c r="J6" s="2" t="s">
        <v>508</v>
      </c>
      <c r="K6" s="2" t="s">
        <v>509</v>
      </c>
      <c r="L6" s="3">
        <v>46357</v>
      </c>
      <c r="M6" s="3">
        <v>46231</v>
      </c>
      <c r="N6" s="2" t="s">
        <v>18</v>
      </c>
      <c r="O6" s="2" t="s">
        <v>19</v>
      </c>
      <c r="P6" s="2">
        <v>101.41</v>
      </c>
      <c r="Q6" s="2">
        <v>2026</v>
      </c>
      <c r="R6" s="2" t="s">
        <v>11</v>
      </c>
    </row>
    <row r="7" spans="9:18" ht="15" customHeight="1" x14ac:dyDescent="0.3">
      <c r="I7" s="4" t="s">
        <v>134</v>
      </c>
      <c r="J7" s="4" t="s">
        <v>135</v>
      </c>
      <c r="K7" s="4" t="s">
        <v>13</v>
      </c>
      <c r="L7" s="5">
        <v>46357</v>
      </c>
      <c r="M7" s="5">
        <v>45643</v>
      </c>
      <c r="N7" s="4" t="s">
        <v>18</v>
      </c>
      <c r="O7" s="4" t="s">
        <v>19</v>
      </c>
      <c r="P7" s="4">
        <v>522.12</v>
      </c>
      <c r="Q7" s="4">
        <v>2026</v>
      </c>
      <c r="R7" s="4" t="s">
        <v>11</v>
      </c>
    </row>
    <row r="8" spans="9:18" ht="15" customHeight="1" x14ac:dyDescent="0.3">
      <c r="I8" s="2" t="s">
        <v>126</v>
      </c>
      <c r="J8" s="2" t="s">
        <v>127</v>
      </c>
      <c r="K8" s="2" t="s">
        <v>49</v>
      </c>
      <c r="L8" s="3">
        <v>46359</v>
      </c>
      <c r="M8" s="3">
        <v>45670</v>
      </c>
      <c r="N8" s="2" t="s">
        <v>18</v>
      </c>
      <c r="O8" s="2" t="s">
        <v>19</v>
      </c>
      <c r="P8" s="2">
        <v>203.62</v>
      </c>
      <c r="Q8" s="2">
        <v>2026</v>
      </c>
      <c r="R8" s="2" t="s">
        <v>12</v>
      </c>
    </row>
    <row r="9" spans="9:18" ht="15" customHeight="1" x14ac:dyDescent="0.3">
      <c r="I9" s="4" t="s">
        <v>136</v>
      </c>
      <c r="J9" s="4" t="s">
        <v>137</v>
      </c>
      <c r="K9" s="4" t="s">
        <v>76</v>
      </c>
      <c r="L9" s="5">
        <v>46368</v>
      </c>
      <c r="M9" s="5">
        <v>44245</v>
      </c>
      <c r="N9" s="4" t="s">
        <v>18</v>
      </c>
      <c r="O9" s="4" t="s">
        <v>19</v>
      </c>
      <c r="P9" s="4">
        <v>51.6</v>
      </c>
      <c r="Q9" s="4">
        <v>2026</v>
      </c>
      <c r="R9" s="4" t="s">
        <v>12</v>
      </c>
    </row>
    <row r="10" spans="9:18" ht="15" customHeight="1" x14ac:dyDescent="0.3">
      <c r="I10" s="2" t="s">
        <v>96</v>
      </c>
      <c r="J10" s="2" t="s">
        <v>97</v>
      </c>
      <c r="K10" s="2" t="s">
        <v>34</v>
      </c>
      <c r="L10" s="3">
        <v>46373</v>
      </c>
      <c r="M10" s="3">
        <v>45271</v>
      </c>
      <c r="N10" s="2" t="s">
        <v>18</v>
      </c>
      <c r="O10" s="2" t="s">
        <v>19</v>
      </c>
      <c r="P10" s="2">
        <v>203.2</v>
      </c>
      <c r="Q10" s="2">
        <v>2026</v>
      </c>
      <c r="R10" s="2" t="s">
        <v>12</v>
      </c>
    </row>
    <row r="11" spans="9:18" ht="15" customHeight="1" x14ac:dyDescent="0.3">
      <c r="I11" s="4" t="s">
        <v>167</v>
      </c>
      <c r="J11" s="4" t="s">
        <v>168</v>
      </c>
      <c r="K11" s="4" t="s">
        <v>34</v>
      </c>
      <c r="L11" s="5">
        <v>46374</v>
      </c>
      <c r="M11" s="5">
        <v>45937</v>
      </c>
      <c r="N11" s="4" t="s">
        <v>18</v>
      </c>
      <c r="O11" s="4" t="s">
        <v>19</v>
      </c>
      <c r="P11" s="4">
        <v>101.65</v>
      </c>
      <c r="Q11" s="4">
        <v>2026</v>
      </c>
      <c r="R11" s="4" t="s">
        <v>12</v>
      </c>
    </row>
    <row r="12" spans="9:18" ht="15" customHeight="1" x14ac:dyDescent="0.3">
      <c r="I12" s="2" t="s">
        <v>147</v>
      </c>
      <c r="J12" s="2" t="s">
        <v>148</v>
      </c>
      <c r="K12" s="2" t="s">
        <v>41</v>
      </c>
      <c r="L12" s="3">
        <v>46387</v>
      </c>
      <c r="M12" s="3">
        <v>45866</v>
      </c>
      <c r="N12" s="2" t="s">
        <v>18</v>
      </c>
      <c r="O12" s="2" t="s">
        <v>19</v>
      </c>
      <c r="P12" s="2">
        <v>241.05</v>
      </c>
      <c r="Q12" s="2">
        <v>2026</v>
      </c>
      <c r="R12" s="2" t="s">
        <v>12</v>
      </c>
    </row>
    <row r="13" spans="9:18" ht="15" customHeight="1" x14ac:dyDescent="0.3">
      <c r="I13" s="4" t="s">
        <v>128</v>
      </c>
      <c r="J13" s="4" t="s">
        <v>169</v>
      </c>
      <c r="K13" s="4" t="s">
        <v>129</v>
      </c>
      <c r="L13" s="5">
        <v>46416</v>
      </c>
      <c r="M13" s="5">
        <v>45783</v>
      </c>
      <c r="N13" s="4" t="s">
        <v>18</v>
      </c>
      <c r="O13" s="4" t="s">
        <v>19</v>
      </c>
      <c r="P13" s="4">
        <v>257.3</v>
      </c>
      <c r="Q13" s="4">
        <v>2027</v>
      </c>
      <c r="R13" s="4" t="s">
        <v>12</v>
      </c>
    </row>
    <row r="14" spans="9:18" ht="15" customHeight="1" x14ac:dyDescent="0.3">
      <c r="I14" s="2" t="s">
        <v>170</v>
      </c>
      <c r="J14" s="2" t="s">
        <v>171</v>
      </c>
      <c r="K14" s="2" t="s">
        <v>17</v>
      </c>
      <c r="L14" s="3">
        <v>46419</v>
      </c>
      <c r="M14" s="3">
        <v>45447</v>
      </c>
      <c r="N14" s="2" t="s">
        <v>18</v>
      </c>
      <c r="O14" s="2" t="s">
        <v>19</v>
      </c>
      <c r="P14" s="2">
        <v>103.53</v>
      </c>
      <c r="Q14" s="2">
        <v>2027</v>
      </c>
      <c r="R14" s="2" t="s">
        <v>12</v>
      </c>
    </row>
    <row r="15" spans="9:18" ht="15" customHeight="1" x14ac:dyDescent="0.3">
      <c r="I15" s="4" t="s">
        <v>152</v>
      </c>
      <c r="J15" s="4" t="s">
        <v>153</v>
      </c>
      <c r="K15" s="4" t="s">
        <v>129</v>
      </c>
      <c r="L15" s="5">
        <v>46433</v>
      </c>
      <c r="M15" s="5">
        <v>45392</v>
      </c>
      <c r="N15" s="4" t="s">
        <v>18</v>
      </c>
      <c r="O15" s="4" t="s">
        <v>19</v>
      </c>
      <c r="P15" s="4">
        <v>153.77000000000001</v>
      </c>
      <c r="Q15" s="4">
        <v>2027</v>
      </c>
      <c r="R15" s="4" t="s">
        <v>11</v>
      </c>
    </row>
    <row r="16" spans="9:18" ht="15" customHeight="1" x14ac:dyDescent="0.3">
      <c r="I16" s="2" t="s">
        <v>98</v>
      </c>
      <c r="J16" s="2" t="s">
        <v>99</v>
      </c>
      <c r="K16" s="2" t="s">
        <v>41</v>
      </c>
      <c r="L16" s="3">
        <v>46464</v>
      </c>
      <c r="M16" s="3">
        <v>45427</v>
      </c>
      <c r="N16" s="2" t="s">
        <v>18</v>
      </c>
      <c r="O16" s="2" t="s">
        <v>19</v>
      </c>
      <c r="P16" s="2">
        <v>143.1</v>
      </c>
      <c r="Q16" s="2">
        <v>2027</v>
      </c>
      <c r="R16" s="2" t="s">
        <v>12</v>
      </c>
    </row>
    <row r="17" spans="9:18" ht="15" customHeight="1" x14ac:dyDescent="0.3">
      <c r="I17" s="4" t="s">
        <v>138</v>
      </c>
      <c r="J17" s="4" t="s">
        <v>172</v>
      </c>
      <c r="K17" s="4" t="s">
        <v>13</v>
      </c>
      <c r="L17" s="5">
        <v>46465</v>
      </c>
      <c r="M17" s="5">
        <v>45458</v>
      </c>
      <c r="N17" s="4" t="s">
        <v>18</v>
      </c>
      <c r="O17" s="4" t="s">
        <v>19</v>
      </c>
      <c r="P17" s="4">
        <v>208.5</v>
      </c>
      <c r="Q17" s="4">
        <v>2027</v>
      </c>
      <c r="R17" s="4" t="s">
        <v>12</v>
      </c>
    </row>
    <row r="18" spans="9:18" ht="15" customHeight="1" x14ac:dyDescent="0.3">
      <c r="I18" s="2" t="s">
        <v>173</v>
      </c>
      <c r="J18" s="2" t="s">
        <v>174</v>
      </c>
      <c r="K18" s="2" t="s">
        <v>162</v>
      </c>
      <c r="L18" s="3">
        <v>46475</v>
      </c>
      <c r="M18" s="3">
        <v>45399</v>
      </c>
      <c r="N18" s="2" t="s">
        <v>18</v>
      </c>
      <c r="O18" s="2" t="s">
        <v>19</v>
      </c>
      <c r="P18" s="2">
        <v>33.94</v>
      </c>
      <c r="Q18" s="2">
        <v>2027</v>
      </c>
      <c r="R18" s="2" t="s">
        <v>12</v>
      </c>
    </row>
    <row r="19" spans="9:18" ht="15" customHeight="1" x14ac:dyDescent="0.3">
      <c r="I19" s="4" t="s">
        <v>198</v>
      </c>
      <c r="J19" s="4" t="s">
        <v>199</v>
      </c>
      <c r="K19" s="4" t="s">
        <v>104</v>
      </c>
      <c r="L19" s="5">
        <v>46480</v>
      </c>
      <c r="M19" s="5">
        <v>45720</v>
      </c>
      <c r="N19" s="4" t="s">
        <v>18</v>
      </c>
      <c r="O19" s="4" t="s">
        <v>19</v>
      </c>
      <c r="P19" s="4">
        <v>124.55</v>
      </c>
      <c r="Q19" s="4">
        <v>2027</v>
      </c>
      <c r="R19" s="4" t="s">
        <v>12</v>
      </c>
    </row>
    <row r="20" spans="9:18" ht="15" customHeight="1" x14ac:dyDescent="0.3">
      <c r="I20" s="2" t="s">
        <v>71</v>
      </c>
      <c r="J20" s="2" t="s">
        <v>72</v>
      </c>
      <c r="K20" s="2" t="s">
        <v>59</v>
      </c>
      <c r="L20" s="3">
        <v>46485</v>
      </c>
      <c r="M20" s="3">
        <v>45232</v>
      </c>
      <c r="N20" s="2" t="s">
        <v>18</v>
      </c>
      <c r="O20" s="2" t="s">
        <v>19</v>
      </c>
      <c r="P20" s="2">
        <v>102.41</v>
      </c>
      <c r="Q20" s="2">
        <v>2027</v>
      </c>
      <c r="R20" s="2" t="s">
        <v>12</v>
      </c>
    </row>
    <row r="21" spans="9:18" ht="15" customHeight="1" x14ac:dyDescent="0.3">
      <c r="I21" s="4" t="s">
        <v>236</v>
      </c>
      <c r="J21" s="4" t="s">
        <v>237</v>
      </c>
      <c r="K21" s="4" t="s">
        <v>238</v>
      </c>
      <c r="L21" s="5">
        <v>46492</v>
      </c>
      <c r="M21" s="5">
        <v>46034</v>
      </c>
      <c r="N21" s="4" t="s">
        <v>18</v>
      </c>
      <c r="O21" s="4" t="s">
        <v>19</v>
      </c>
      <c r="P21" s="4">
        <v>0</v>
      </c>
      <c r="Q21" s="4">
        <v>2027</v>
      </c>
      <c r="R21" s="4" t="s">
        <v>11</v>
      </c>
    </row>
    <row r="22" spans="9:18" ht="15" customHeight="1" x14ac:dyDescent="0.3">
      <c r="I22" s="2" t="s">
        <v>80</v>
      </c>
      <c r="J22" s="2" t="s">
        <v>81</v>
      </c>
      <c r="K22" s="2" t="s">
        <v>20</v>
      </c>
      <c r="L22" s="3">
        <v>46496</v>
      </c>
      <c r="M22" s="3">
        <v>45505</v>
      </c>
      <c r="N22" s="2" t="s">
        <v>18</v>
      </c>
      <c r="O22" s="2" t="s">
        <v>19</v>
      </c>
      <c r="P22" s="2">
        <v>77.37</v>
      </c>
      <c r="Q22" s="2">
        <v>2027</v>
      </c>
      <c r="R22" s="2" t="s">
        <v>12</v>
      </c>
    </row>
    <row r="23" spans="9:18" ht="15" customHeight="1" x14ac:dyDescent="0.3">
      <c r="I23" s="4" t="s">
        <v>204</v>
      </c>
      <c r="J23" s="4" t="s">
        <v>205</v>
      </c>
      <c r="K23" s="4" t="s">
        <v>47</v>
      </c>
      <c r="L23" s="5">
        <v>46507</v>
      </c>
      <c r="M23" s="5">
        <v>44895</v>
      </c>
      <c r="N23" s="4" t="s">
        <v>18</v>
      </c>
      <c r="O23" s="4" t="s">
        <v>19</v>
      </c>
      <c r="P23" s="4">
        <v>61.39</v>
      </c>
      <c r="Q23" s="4">
        <v>2027</v>
      </c>
      <c r="R23" s="4" t="s">
        <v>12</v>
      </c>
    </row>
    <row r="24" spans="9:18" ht="15" customHeight="1" x14ac:dyDescent="0.3">
      <c r="I24" s="2" t="s">
        <v>219</v>
      </c>
      <c r="J24" s="2" t="s">
        <v>220</v>
      </c>
      <c r="K24" s="2" t="s">
        <v>212</v>
      </c>
      <c r="L24" s="3">
        <v>46508</v>
      </c>
      <c r="M24" s="3">
        <v>45510</v>
      </c>
      <c r="N24" s="2" t="s">
        <v>18</v>
      </c>
      <c r="O24" s="2" t="s">
        <v>19</v>
      </c>
      <c r="P24" s="2">
        <v>176.13</v>
      </c>
      <c r="Q24" s="2">
        <v>2027</v>
      </c>
      <c r="R24" s="2" t="s">
        <v>12</v>
      </c>
    </row>
    <row r="25" spans="9:18" ht="15" customHeight="1" x14ac:dyDescent="0.3">
      <c r="I25" s="4" t="s">
        <v>68</v>
      </c>
      <c r="J25" s="4" t="s">
        <v>69</v>
      </c>
      <c r="K25" s="4" t="s">
        <v>64</v>
      </c>
      <c r="L25" s="5">
        <v>46518</v>
      </c>
      <c r="M25" s="5">
        <v>45047</v>
      </c>
      <c r="N25" s="4" t="s">
        <v>18</v>
      </c>
      <c r="O25" s="4" t="s">
        <v>19</v>
      </c>
      <c r="P25" s="4">
        <v>0</v>
      </c>
      <c r="Q25" s="4">
        <v>2027</v>
      </c>
      <c r="R25" s="4" t="s">
        <v>12</v>
      </c>
    </row>
    <row r="26" spans="9:18" ht="15" customHeight="1" x14ac:dyDescent="0.3">
      <c r="I26" s="2" t="s">
        <v>300</v>
      </c>
      <c r="J26" s="2" t="s">
        <v>301</v>
      </c>
      <c r="K26" s="2" t="s">
        <v>50</v>
      </c>
      <c r="L26" s="3">
        <v>46522</v>
      </c>
      <c r="M26" s="3">
        <v>45719</v>
      </c>
      <c r="N26" s="2" t="s">
        <v>18</v>
      </c>
      <c r="O26" s="2" t="s">
        <v>19</v>
      </c>
      <c r="P26" s="2">
        <v>256</v>
      </c>
      <c r="Q26" s="2">
        <v>2027</v>
      </c>
      <c r="R26" s="2" t="s">
        <v>11</v>
      </c>
    </row>
    <row r="27" spans="9:18" ht="15" customHeight="1" x14ac:dyDescent="0.3">
      <c r="I27" s="4" t="s">
        <v>177</v>
      </c>
      <c r="J27" s="4" t="s">
        <v>178</v>
      </c>
      <c r="K27" s="4" t="s">
        <v>52</v>
      </c>
      <c r="L27" s="5">
        <v>46531</v>
      </c>
      <c r="M27" s="5">
        <v>45786</v>
      </c>
      <c r="N27" s="4" t="s">
        <v>18</v>
      </c>
      <c r="O27" s="4" t="s">
        <v>19</v>
      </c>
      <c r="P27" s="4">
        <v>204.85</v>
      </c>
      <c r="Q27" s="4">
        <v>2027</v>
      </c>
      <c r="R27" s="4" t="s">
        <v>12</v>
      </c>
    </row>
    <row r="28" spans="9:18" ht="15" customHeight="1" x14ac:dyDescent="0.3">
      <c r="I28" s="2" t="s">
        <v>296</v>
      </c>
      <c r="J28" s="2" t="s">
        <v>297</v>
      </c>
      <c r="K28" s="2" t="s">
        <v>298</v>
      </c>
      <c r="L28" s="3">
        <v>46535</v>
      </c>
      <c r="M28" s="3">
        <v>45531</v>
      </c>
      <c r="N28" s="2" t="s">
        <v>18</v>
      </c>
      <c r="O28" s="2" t="s">
        <v>19</v>
      </c>
      <c r="P28" s="2">
        <v>201.8</v>
      </c>
      <c r="Q28" s="2">
        <v>2027</v>
      </c>
      <c r="R28" s="2" t="s">
        <v>12</v>
      </c>
    </row>
    <row r="29" spans="9:18" ht="15" customHeight="1" x14ac:dyDescent="0.3">
      <c r="I29" s="4" t="s">
        <v>239</v>
      </c>
      <c r="J29" s="4" t="s">
        <v>240</v>
      </c>
      <c r="K29" s="4" t="s">
        <v>241</v>
      </c>
      <c r="L29" s="5">
        <v>46539</v>
      </c>
      <c r="M29" s="5">
        <v>45558</v>
      </c>
      <c r="N29" s="4" t="s">
        <v>18</v>
      </c>
      <c r="O29" s="4" t="s">
        <v>19</v>
      </c>
      <c r="P29" s="4">
        <v>206.8</v>
      </c>
      <c r="Q29" s="4">
        <v>2027</v>
      </c>
      <c r="R29" s="4" t="s">
        <v>12</v>
      </c>
    </row>
    <row r="30" spans="9:18" ht="15" customHeight="1" x14ac:dyDescent="0.3">
      <c r="I30" s="2" t="s">
        <v>302</v>
      </c>
      <c r="J30" s="2" t="s">
        <v>303</v>
      </c>
      <c r="K30" s="2" t="s">
        <v>49</v>
      </c>
      <c r="L30" s="3">
        <v>46539</v>
      </c>
      <c r="M30" s="3">
        <v>46094</v>
      </c>
      <c r="N30" s="2" t="s">
        <v>18</v>
      </c>
      <c r="O30" s="2" t="s">
        <v>19</v>
      </c>
      <c r="P30" s="2">
        <v>203.75</v>
      </c>
      <c r="Q30" s="2">
        <v>2027</v>
      </c>
      <c r="R30" s="2" t="s">
        <v>12</v>
      </c>
    </row>
    <row r="31" spans="9:18" ht="15" customHeight="1" x14ac:dyDescent="0.3">
      <c r="I31" s="4" t="s">
        <v>304</v>
      </c>
      <c r="J31" s="4" t="s">
        <v>305</v>
      </c>
      <c r="K31" s="4" t="s">
        <v>14</v>
      </c>
      <c r="L31" s="5">
        <v>46539</v>
      </c>
      <c r="M31" s="5">
        <v>45702</v>
      </c>
      <c r="N31" s="4" t="s">
        <v>18</v>
      </c>
      <c r="O31" s="4" t="s">
        <v>19</v>
      </c>
      <c r="P31" s="4">
        <v>150.68</v>
      </c>
      <c r="Q31" s="4">
        <v>2027</v>
      </c>
      <c r="R31" s="4" t="s">
        <v>11</v>
      </c>
    </row>
    <row r="32" spans="9:18" ht="15" customHeight="1" x14ac:dyDescent="0.3">
      <c r="I32" s="2" t="s">
        <v>306</v>
      </c>
      <c r="J32" s="2" t="s">
        <v>307</v>
      </c>
      <c r="K32" s="2" t="s">
        <v>14</v>
      </c>
      <c r="L32" s="3">
        <v>46539</v>
      </c>
      <c r="M32" s="3">
        <v>45702</v>
      </c>
      <c r="N32" s="2" t="s">
        <v>18</v>
      </c>
      <c r="O32" s="2" t="s">
        <v>19</v>
      </c>
      <c r="P32" s="2">
        <v>156.6</v>
      </c>
      <c r="Q32" s="2">
        <v>2027</v>
      </c>
      <c r="R32" s="2" t="s">
        <v>11</v>
      </c>
    </row>
    <row r="33" spans="9:18" ht="15" customHeight="1" x14ac:dyDescent="0.3">
      <c r="I33" s="4" t="s">
        <v>308</v>
      </c>
      <c r="J33" s="4" t="s">
        <v>309</v>
      </c>
      <c r="K33" s="4" t="s">
        <v>14</v>
      </c>
      <c r="L33" s="5">
        <v>46539</v>
      </c>
      <c r="M33" s="5">
        <v>45702</v>
      </c>
      <c r="N33" s="4" t="s">
        <v>18</v>
      </c>
      <c r="O33" s="4" t="s">
        <v>19</v>
      </c>
      <c r="P33" s="4">
        <v>156.6</v>
      </c>
      <c r="Q33" s="4">
        <v>2027</v>
      </c>
      <c r="R33" s="4" t="s">
        <v>11</v>
      </c>
    </row>
    <row r="34" spans="9:18" ht="15" customHeight="1" x14ac:dyDescent="0.3">
      <c r="I34" s="2" t="s">
        <v>175</v>
      </c>
      <c r="J34" s="2" t="s">
        <v>176</v>
      </c>
      <c r="K34" s="2" t="s">
        <v>51</v>
      </c>
      <c r="L34" s="3">
        <v>46568</v>
      </c>
      <c r="M34" s="3">
        <v>45422</v>
      </c>
      <c r="N34" s="2" t="s">
        <v>18</v>
      </c>
      <c r="O34" s="2" t="s">
        <v>19</v>
      </c>
      <c r="P34" s="2">
        <v>207.82</v>
      </c>
      <c r="Q34" s="2">
        <v>2027</v>
      </c>
      <c r="R34" s="2" t="s">
        <v>12</v>
      </c>
    </row>
    <row r="35" spans="9:18" ht="15" customHeight="1" x14ac:dyDescent="0.3">
      <c r="I35" s="4" t="s">
        <v>340</v>
      </c>
      <c r="J35" s="4" t="s">
        <v>341</v>
      </c>
      <c r="K35" s="4" t="s">
        <v>92</v>
      </c>
      <c r="L35" s="5">
        <v>46568</v>
      </c>
      <c r="M35" s="5">
        <v>45980</v>
      </c>
      <c r="N35" s="4" t="s">
        <v>18</v>
      </c>
      <c r="O35" s="4" t="s">
        <v>19</v>
      </c>
      <c r="P35" s="4">
        <v>181.54</v>
      </c>
      <c r="Q35" s="4">
        <v>2027</v>
      </c>
      <c r="R35" s="4" t="s">
        <v>11</v>
      </c>
    </row>
    <row r="36" spans="9:18" ht="15" customHeight="1" x14ac:dyDescent="0.3">
      <c r="I36" s="2" t="s">
        <v>139</v>
      </c>
      <c r="J36" s="2" t="s">
        <v>140</v>
      </c>
      <c r="K36" s="2" t="s">
        <v>141</v>
      </c>
      <c r="L36" s="3">
        <v>46569</v>
      </c>
      <c r="M36" s="3">
        <v>44673</v>
      </c>
      <c r="N36" s="2" t="s">
        <v>18</v>
      </c>
      <c r="O36" s="2" t="s">
        <v>19</v>
      </c>
      <c r="P36" s="2">
        <v>208.89</v>
      </c>
      <c r="Q36" s="2">
        <v>2027</v>
      </c>
      <c r="R36" s="2" t="s">
        <v>12</v>
      </c>
    </row>
    <row r="37" spans="9:18" ht="15" customHeight="1" x14ac:dyDescent="0.3">
      <c r="I37" s="4" t="s">
        <v>264</v>
      </c>
      <c r="J37" s="4" t="s">
        <v>265</v>
      </c>
      <c r="K37" s="4" t="s">
        <v>92</v>
      </c>
      <c r="L37" s="5">
        <v>46569</v>
      </c>
      <c r="M37" s="5">
        <v>45470</v>
      </c>
      <c r="N37" s="4" t="s">
        <v>18</v>
      </c>
      <c r="O37" s="4" t="s">
        <v>19</v>
      </c>
      <c r="P37" s="4">
        <v>238.21</v>
      </c>
      <c r="Q37" s="4">
        <v>2027</v>
      </c>
      <c r="R37" s="4" t="s">
        <v>12</v>
      </c>
    </row>
    <row r="38" spans="9:18" ht="15" customHeight="1" x14ac:dyDescent="0.3">
      <c r="I38" s="2" t="s">
        <v>130</v>
      </c>
      <c r="J38" s="2" t="s">
        <v>299</v>
      </c>
      <c r="K38" s="2" t="s">
        <v>118</v>
      </c>
      <c r="L38" s="3">
        <v>46573</v>
      </c>
      <c r="M38" s="3">
        <v>44676</v>
      </c>
      <c r="N38" s="2" t="s">
        <v>18</v>
      </c>
      <c r="O38" s="2" t="s">
        <v>19</v>
      </c>
      <c r="P38" s="2">
        <v>33.17</v>
      </c>
      <c r="Q38" s="2">
        <v>2027</v>
      </c>
      <c r="R38" s="2" t="s">
        <v>12</v>
      </c>
    </row>
    <row r="39" spans="9:18" ht="15" customHeight="1" x14ac:dyDescent="0.3">
      <c r="I39" s="4" t="s">
        <v>266</v>
      </c>
      <c r="J39" s="4" t="s">
        <v>267</v>
      </c>
      <c r="K39" s="4" t="s">
        <v>66</v>
      </c>
      <c r="L39" s="5">
        <v>46577</v>
      </c>
      <c r="M39" s="5">
        <v>45992</v>
      </c>
      <c r="N39" s="4" t="s">
        <v>18</v>
      </c>
      <c r="O39" s="4" t="s">
        <v>19</v>
      </c>
      <c r="P39" s="4">
        <v>202.69</v>
      </c>
      <c r="Q39" s="4">
        <v>2027</v>
      </c>
      <c r="R39" s="4" t="s">
        <v>12</v>
      </c>
    </row>
    <row r="40" spans="9:18" ht="15" customHeight="1" x14ac:dyDescent="0.3">
      <c r="I40" s="2" t="s">
        <v>200</v>
      </c>
      <c r="J40" s="2" t="s">
        <v>201</v>
      </c>
      <c r="K40" s="2" t="s">
        <v>23</v>
      </c>
      <c r="L40" s="3">
        <v>46580</v>
      </c>
      <c r="M40" s="3">
        <v>45635</v>
      </c>
      <c r="N40" s="2" t="s">
        <v>18</v>
      </c>
      <c r="O40" s="2" t="s">
        <v>19</v>
      </c>
      <c r="P40" s="2">
        <v>205.24</v>
      </c>
      <c r="Q40" s="2">
        <v>2027</v>
      </c>
      <c r="R40" s="2" t="s">
        <v>11</v>
      </c>
    </row>
    <row r="41" spans="9:18" ht="15" customHeight="1" x14ac:dyDescent="0.3">
      <c r="I41" s="4" t="s">
        <v>310</v>
      </c>
      <c r="J41" s="4" t="s">
        <v>311</v>
      </c>
      <c r="K41" s="4" t="s">
        <v>216</v>
      </c>
      <c r="L41" s="5">
        <v>46583</v>
      </c>
      <c r="M41" s="5">
        <v>45544</v>
      </c>
      <c r="N41" s="4" t="s">
        <v>18</v>
      </c>
      <c r="O41" s="4" t="s">
        <v>19</v>
      </c>
      <c r="P41" s="4">
        <v>254.88</v>
      </c>
      <c r="Q41" s="4">
        <v>2027</v>
      </c>
      <c r="R41" s="4" t="s">
        <v>12</v>
      </c>
    </row>
    <row r="42" spans="9:18" ht="15" customHeight="1" x14ac:dyDescent="0.3">
      <c r="I42" s="2" t="s">
        <v>261</v>
      </c>
      <c r="J42" s="2" t="s">
        <v>262</v>
      </c>
      <c r="K42" s="2" t="s">
        <v>263</v>
      </c>
      <c r="L42" s="3">
        <v>46588</v>
      </c>
      <c r="M42" s="3">
        <v>45265</v>
      </c>
      <c r="N42" s="2" t="s">
        <v>18</v>
      </c>
      <c r="O42" s="2" t="s">
        <v>19</v>
      </c>
      <c r="P42" s="2">
        <v>154.63</v>
      </c>
      <c r="Q42" s="2">
        <v>2027</v>
      </c>
      <c r="R42" s="2" t="s">
        <v>12</v>
      </c>
    </row>
    <row r="43" spans="9:18" ht="15" customHeight="1" x14ac:dyDescent="0.3">
      <c r="I43" s="4" t="s">
        <v>268</v>
      </c>
      <c r="J43" s="4" t="s">
        <v>269</v>
      </c>
      <c r="K43" s="4" t="s">
        <v>270</v>
      </c>
      <c r="L43" s="5">
        <v>46598</v>
      </c>
      <c r="M43" s="5">
        <v>45518</v>
      </c>
      <c r="N43" s="4" t="s">
        <v>18</v>
      </c>
      <c r="O43" s="4" t="s">
        <v>19</v>
      </c>
      <c r="P43" s="4">
        <v>203.8</v>
      </c>
      <c r="Q43" s="4">
        <v>2027</v>
      </c>
      <c r="R43" s="4" t="s">
        <v>12</v>
      </c>
    </row>
    <row r="44" spans="9:18" ht="15" customHeight="1" x14ac:dyDescent="0.3">
      <c r="I44" s="2" t="s">
        <v>149</v>
      </c>
      <c r="J44" s="2" t="s">
        <v>150</v>
      </c>
      <c r="K44" s="2" t="s">
        <v>59</v>
      </c>
      <c r="L44" s="3">
        <v>46599</v>
      </c>
      <c r="M44" s="3">
        <v>45744</v>
      </c>
      <c r="N44" s="2" t="s">
        <v>18</v>
      </c>
      <c r="O44" s="2" t="s">
        <v>19</v>
      </c>
      <c r="P44" s="2">
        <v>153.72</v>
      </c>
      <c r="Q44" s="2">
        <v>2027</v>
      </c>
      <c r="R44" s="2" t="s">
        <v>11</v>
      </c>
    </row>
    <row r="45" spans="9:18" ht="15" customHeight="1" x14ac:dyDescent="0.3">
      <c r="I45" s="4" t="s">
        <v>271</v>
      </c>
      <c r="J45" s="4" t="s">
        <v>272</v>
      </c>
      <c r="K45" s="4" t="s">
        <v>94</v>
      </c>
      <c r="L45" s="5">
        <v>46599</v>
      </c>
      <c r="M45" s="5">
        <v>45470</v>
      </c>
      <c r="N45" s="4" t="s">
        <v>18</v>
      </c>
      <c r="O45" s="4" t="s">
        <v>19</v>
      </c>
      <c r="P45" s="4">
        <v>510.99</v>
      </c>
      <c r="Q45" s="4">
        <v>2027</v>
      </c>
      <c r="R45" s="4" t="s">
        <v>11</v>
      </c>
    </row>
    <row r="46" spans="9:18" ht="15" customHeight="1" x14ac:dyDescent="0.3">
      <c r="I46" s="2" t="s">
        <v>202</v>
      </c>
      <c r="J46" s="2" t="s">
        <v>203</v>
      </c>
      <c r="K46" s="2" t="s">
        <v>42</v>
      </c>
      <c r="L46" s="3">
        <v>46603</v>
      </c>
      <c r="M46" s="3">
        <v>45642</v>
      </c>
      <c r="N46" s="2" t="s">
        <v>18</v>
      </c>
      <c r="O46" s="2" t="s">
        <v>19</v>
      </c>
      <c r="P46" s="2">
        <v>104.52</v>
      </c>
      <c r="Q46" s="2">
        <v>2027</v>
      </c>
      <c r="R46" s="2" t="s">
        <v>11</v>
      </c>
    </row>
    <row r="47" spans="9:18" ht="15" customHeight="1" x14ac:dyDescent="0.3">
      <c r="I47" s="4" t="s">
        <v>312</v>
      </c>
      <c r="J47" s="4" t="s">
        <v>313</v>
      </c>
      <c r="K47" s="4" t="s">
        <v>34</v>
      </c>
      <c r="L47" s="5">
        <v>46629</v>
      </c>
      <c r="M47" s="5">
        <v>45077</v>
      </c>
      <c r="N47" s="4" t="s">
        <v>18</v>
      </c>
      <c r="O47" s="4" t="s">
        <v>19</v>
      </c>
      <c r="P47" s="4">
        <v>154</v>
      </c>
      <c r="Q47" s="4">
        <v>2027</v>
      </c>
      <c r="R47" s="4" t="s">
        <v>11</v>
      </c>
    </row>
    <row r="48" spans="9:18" ht="15" customHeight="1" x14ac:dyDescent="0.3">
      <c r="I48" s="2" t="s">
        <v>217</v>
      </c>
      <c r="J48" s="2" t="s">
        <v>218</v>
      </c>
      <c r="K48" s="2" t="s">
        <v>59</v>
      </c>
      <c r="L48" s="3">
        <v>46630</v>
      </c>
      <c r="M48" s="3">
        <v>45744</v>
      </c>
      <c r="N48" s="2" t="s">
        <v>18</v>
      </c>
      <c r="O48" s="2" t="s">
        <v>19</v>
      </c>
      <c r="P48" s="2">
        <v>153.69</v>
      </c>
      <c r="Q48" s="2">
        <v>2027</v>
      </c>
      <c r="R48" s="2" t="s">
        <v>11</v>
      </c>
    </row>
    <row r="49" spans="1:21" ht="15" customHeight="1" x14ac:dyDescent="0.3">
      <c r="I49" s="4" t="s">
        <v>342</v>
      </c>
      <c r="J49" s="4" t="s">
        <v>343</v>
      </c>
      <c r="K49" s="4" t="s">
        <v>224</v>
      </c>
      <c r="L49" s="5">
        <v>46631</v>
      </c>
      <c r="M49" s="5">
        <v>45743</v>
      </c>
      <c r="N49" s="4" t="s">
        <v>18</v>
      </c>
      <c r="O49" s="4" t="s">
        <v>19</v>
      </c>
      <c r="P49" s="4">
        <v>144.22</v>
      </c>
      <c r="Q49" s="4">
        <v>2027</v>
      </c>
      <c r="R49" s="4" t="s">
        <v>11</v>
      </c>
    </row>
    <row r="50" spans="1:21" ht="15" customHeight="1" x14ac:dyDescent="0.3">
      <c r="I50" s="2" t="s">
        <v>344</v>
      </c>
      <c r="J50" s="2" t="s">
        <v>345</v>
      </c>
      <c r="K50" s="2" t="s">
        <v>346</v>
      </c>
      <c r="L50" s="3">
        <v>46643</v>
      </c>
      <c r="M50" s="3">
        <v>45887</v>
      </c>
      <c r="N50" s="2" t="s">
        <v>18</v>
      </c>
      <c r="O50" s="2" t="s">
        <v>19</v>
      </c>
      <c r="P50" s="2">
        <v>202.56</v>
      </c>
      <c r="Q50" s="2">
        <v>2027</v>
      </c>
      <c r="R50" s="2" t="s">
        <v>11</v>
      </c>
    </row>
    <row r="51" spans="1:21" ht="15" customHeight="1" x14ac:dyDescent="0.3">
      <c r="I51" s="4" t="s">
        <v>347</v>
      </c>
      <c r="J51" s="4" t="s">
        <v>348</v>
      </c>
      <c r="K51" s="4" t="s">
        <v>25</v>
      </c>
      <c r="L51" s="5">
        <v>46645</v>
      </c>
      <c r="M51" s="5">
        <v>45873</v>
      </c>
      <c r="N51" s="4" t="s">
        <v>18</v>
      </c>
      <c r="O51" s="4" t="s">
        <v>19</v>
      </c>
      <c r="P51" s="4">
        <v>135.18</v>
      </c>
      <c r="Q51" s="4">
        <v>2027</v>
      </c>
      <c r="R51" s="4" t="s">
        <v>12</v>
      </c>
    </row>
    <row r="52" spans="1:21" ht="15" customHeight="1" x14ac:dyDescent="0.3">
      <c r="I52" s="2" t="s">
        <v>395</v>
      </c>
      <c r="J52" s="2" t="s">
        <v>396</v>
      </c>
      <c r="K52" s="2" t="s">
        <v>331</v>
      </c>
      <c r="L52" s="3">
        <v>46647</v>
      </c>
      <c r="M52" s="3">
        <v>46108</v>
      </c>
      <c r="N52" s="2" t="s">
        <v>18</v>
      </c>
      <c r="O52" s="2" t="s">
        <v>19</v>
      </c>
      <c r="P52" s="2">
        <v>60</v>
      </c>
      <c r="Q52" s="2">
        <v>2027</v>
      </c>
      <c r="R52" s="2" t="s">
        <v>12</v>
      </c>
    </row>
    <row r="53" spans="1:21" ht="15" customHeight="1" x14ac:dyDescent="0.3">
      <c r="I53" s="4" t="s">
        <v>468</v>
      </c>
      <c r="J53" s="4" t="s">
        <v>469</v>
      </c>
      <c r="K53" s="4" t="s">
        <v>331</v>
      </c>
      <c r="L53" s="5">
        <v>46647</v>
      </c>
      <c r="M53" s="5">
        <v>46108</v>
      </c>
      <c r="N53" s="4" t="s">
        <v>18</v>
      </c>
      <c r="O53" s="4" t="s">
        <v>19</v>
      </c>
      <c r="P53" s="4">
        <v>60</v>
      </c>
      <c r="Q53" s="4">
        <v>2027</v>
      </c>
      <c r="R53" s="4" t="s">
        <v>12</v>
      </c>
    </row>
    <row r="54" spans="1:21" ht="15" customHeight="1" x14ac:dyDescent="0.3">
      <c r="I54" s="2" t="s">
        <v>470</v>
      </c>
      <c r="J54" s="2" t="s">
        <v>471</v>
      </c>
      <c r="K54" s="2" t="s">
        <v>331</v>
      </c>
      <c r="L54" s="3">
        <v>46647</v>
      </c>
      <c r="M54" s="3">
        <v>46108</v>
      </c>
      <c r="N54" s="2" t="s">
        <v>18</v>
      </c>
      <c r="O54" s="2" t="s">
        <v>19</v>
      </c>
      <c r="P54" s="2">
        <v>60</v>
      </c>
      <c r="Q54" s="2">
        <v>2027</v>
      </c>
      <c r="R54" s="2" t="s">
        <v>12</v>
      </c>
    </row>
    <row r="55" spans="1:21" ht="15" customHeight="1" x14ac:dyDescent="0.3">
      <c r="I55" s="4" t="s">
        <v>472</v>
      </c>
      <c r="J55" s="4" t="s">
        <v>473</v>
      </c>
      <c r="K55" s="4" t="s">
        <v>331</v>
      </c>
      <c r="L55" s="5">
        <v>46647</v>
      </c>
      <c r="M55" s="5">
        <v>46108</v>
      </c>
      <c r="N55" s="4" t="s">
        <v>18</v>
      </c>
      <c r="O55" s="4" t="s">
        <v>19</v>
      </c>
      <c r="P55" s="4">
        <v>60</v>
      </c>
      <c r="Q55" s="4">
        <v>2027</v>
      </c>
      <c r="R55" s="4" t="s">
        <v>12</v>
      </c>
    </row>
    <row r="56" spans="1:21" ht="15" customHeight="1" x14ac:dyDescent="0.3">
      <c r="I56" s="2" t="s">
        <v>351</v>
      </c>
      <c r="J56" s="2" t="s">
        <v>352</v>
      </c>
      <c r="K56" s="2" t="s">
        <v>53</v>
      </c>
      <c r="L56" s="3">
        <v>46651</v>
      </c>
      <c r="M56" s="3">
        <v>45799</v>
      </c>
      <c r="N56" s="2" t="s">
        <v>18</v>
      </c>
      <c r="O56" s="2" t="s">
        <v>19</v>
      </c>
      <c r="P56" s="2">
        <v>128.19999999999999</v>
      </c>
      <c r="Q56" s="2">
        <v>2027</v>
      </c>
      <c r="R56" s="2" t="s">
        <v>11</v>
      </c>
    </row>
    <row r="57" spans="1:21" ht="15" customHeight="1" x14ac:dyDescent="0.3">
      <c r="I57" s="4" t="s">
        <v>353</v>
      </c>
      <c r="J57" s="4" t="s">
        <v>354</v>
      </c>
      <c r="K57" s="4" t="s">
        <v>82</v>
      </c>
      <c r="L57" s="5">
        <v>46654</v>
      </c>
      <c r="M57" s="5">
        <v>45880</v>
      </c>
      <c r="N57" s="4" t="s">
        <v>18</v>
      </c>
      <c r="O57" s="4" t="s">
        <v>19</v>
      </c>
      <c r="P57" s="4">
        <v>120.3</v>
      </c>
      <c r="Q57" s="4">
        <v>2027</v>
      </c>
      <c r="R57" s="4" t="s">
        <v>12</v>
      </c>
    </row>
    <row r="58" spans="1:21" ht="15" customHeight="1" x14ac:dyDescent="0.3">
      <c r="I58" s="2" t="s">
        <v>369</v>
      </c>
      <c r="J58" s="2" t="s">
        <v>370</v>
      </c>
      <c r="K58" s="2" t="s">
        <v>371</v>
      </c>
      <c r="L58" s="3">
        <v>46661</v>
      </c>
      <c r="M58" s="3">
        <v>45627</v>
      </c>
      <c r="N58" s="2" t="s">
        <v>18</v>
      </c>
      <c r="O58" s="2" t="s">
        <v>19</v>
      </c>
      <c r="P58" s="2">
        <v>308.88</v>
      </c>
      <c r="Q58" s="2">
        <v>2027</v>
      </c>
      <c r="R58" s="2" t="s">
        <v>12</v>
      </c>
    </row>
    <row r="59" spans="1:21" ht="15" customHeight="1" x14ac:dyDescent="0.3">
      <c r="I59" s="4" t="s">
        <v>510</v>
      </c>
      <c r="J59" s="4" t="s">
        <v>511</v>
      </c>
      <c r="K59" s="4" t="s">
        <v>53</v>
      </c>
      <c r="L59" s="5">
        <v>46661</v>
      </c>
      <c r="M59" s="5">
        <v>46252</v>
      </c>
      <c r="N59" s="4" t="s">
        <v>18</v>
      </c>
      <c r="O59" s="4" t="s">
        <v>19</v>
      </c>
      <c r="P59" s="4">
        <v>120</v>
      </c>
      <c r="Q59" s="4">
        <v>2027</v>
      </c>
      <c r="R59" s="4" t="s">
        <v>11</v>
      </c>
    </row>
    <row r="60" spans="1:21" ht="15" customHeight="1" x14ac:dyDescent="0.3">
      <c r="A60" s="6" t="s">
        <v>39</v>
      </c>
      <c r="B60" s="9" t="s">
        <v>43</v>
      </c>
      <c r="C60" s="9" t="s">
        <v>45</v>
      </c>
      <c r="D60" s="9" t="s">
        <v>15</v>
      </c>
      <c r="E60" s="9" t="s">
        <v>16</v>
      </c>
      <c r="F60" s="9" t="s">
        <v>44</v>
      </c>
      <c r="I60" s="2" t="s">
        <v>545</v>
      </c>
      <c r="J60" s="2" t="s">
        <v>546</v>
      </c>
      <c r="K60" s="2" t="s">
        <v>20</v>
      </c>
      <c r="L60" s="3">
        <v>46666</v>
      </c>
      <c r="M60" s="3">
        <v>46099</v>
      </c>
      <c r="N60" s="2" t="s">
        <v>18</v>
      </c>
      <c r="O60" s="2" t="s">
        <v>19</v>
      </c>
      <c r="P60" s="2">
        <v>102.88</v>
      </c>
      <c r="Q60" s="2">
        <v>2027</v>
      </c>
      <c r="R60" s="2" t="s">
        <v>11</v>
      </c>
    </row>
    <row r="61" spans="1:21" ht="15" customHeight="1" x14ac:dyDescent="0.3">
      <c r="A61" s="7">
        <v>46285</v>
      </c>
      <c r="B61" s="10">
        <f t="shared" ref="B61:B78" si="0">SUM(C61:F61)</f>
        <v>21669.669999999991</v>
      </c>
      <c r="C61" s="10">
        <v>21536.669999999991</v>
      </c>
      <c r="D61" s="10">
        <v>0</v>
      </c>
      <c r="E61" s="10">
        <v>133</v>
      </c>
      <c r="F61" s="10">
        <v>0</v>
      </c>
      <c r="H61" s="8"/>
      <c r="I61" s="4" t="s">
        <v>372</v>
      </c>
      <c r="J61" s="4" t="s">
        <v>373</v>
      </c>
      <c r="K61" s="4" t="s">
        <v>14</v>
      </c>
      <c r="L61" s="5">
        <v>46690</v>
      </c>
      <c r="M61" s="5">
        <v>45610</v>
      </c>
      <c r="N61" s="4" t="s">
        <v>18</v>
      </c>
      <c r="O61" s="4" t="s">
        <v>19</v>
      </c>
      <c r="P61" s="4">
        <v>200.9</v>
      </c>
      <c r="Q61" s="4">
        <v>2027</v>
      </c>
      <c r="R61" s="4" t="s">
        <v>11</v>
      </c>
      <c r="T61" s="10"/>
      <c r="U61" s="12"/>
    </row>
    <row r="62" spans="1:21" ht="15" customHeight="1" x14ac:dyDescent="0.3">
      <c r="A62" s="7">
        <v>46315</v>
      </c>
      <c r="B62" s="10">
        <f>SUM(C62:F62)</f>
        <v>22074.439999999991</v>
      </c>
      <c r="C62" s="10">
        <v>21536.669999999991</v>
      </c>
      <c r="D62" s="10">
        <v>404.77</v>
      </c>
      <c r="E62" s="10">
        <v>133</v>
      </c>
      <c r="F62" s="10">
        <v>0</v>
      </c>
      <c r="H62" s="8"/>
      <c r="I62" s="2" t="s">
        <v>374</v>
      </c>
      <c r="J62" s="2" t="s">
        <v>375</v>
      </c>
      <c r="K62" s="2" t="s">
        <v>14</v>
      </c>
      <c r="L62" s="3">
        <v>46690</v>
      </c>
      <c r="M62" s="3">
        <v>45801</v>
      </c>
      <c r="N62" s="2" t="s">
        <v>18</v>
      </c>
      <c r="O62" s="2" t="s">
        <v>19</v>
      </c>
      <c r="P62" s="2">
        <v>180.36</v>
      </c>
      <c r="Q62" s="2">
        <v>2027</v>
      </c>
      <c r="R62" s="2" t="s">
        <v>11</v>
      </c>
      <c r="T62" s="10"/>
      <c r="U62" s="12"/>
    </row>
    <row r="63" spans="1:21" ht="15" customHeight="1" x14ac:dyDescent="0.3">
      <c r="A63" s="7">
        <v>46346</v>
      </c>
      <c r="B63" s="10">
        <f t="shared" si="0"/>
        <v>22613.239999999991</v>
      </c>
      <c r="C63" s="10">
        <v>21536.669999999991</v>
      </c>
      <c r="D63" s="10">
        <v>404.77</v>
      </c>
      <c r="E63" s="10">
        <v>633</v>
      </c>
      <c r="F63" s="10">
        <v>38.799999999999997</v>
      </c>
      <c r="H63" s="8"/>
      <c r="I63" s="4" t="s">
        <v>397</v>
      </c>
      <c r="J63" s="4" t="s">
        <v>398</v>
      </c>
      <c r="K63" s="4" t="s">
        <v>10</v>
      </c>
      <c r="L63" s="5">
        <v>46692</v>
      </c>
      <c r="M63" s="5">
        <v>45982</v>
      </c>
      <c r="N63" s="4" t="s">
        <v>18</v>
      </c>
      <c r="O63" s="4" t="s">
        <v>19</v>
      </c>
      <c r="P63" s="4">
        <v>0</v>
      </c>
      <c r="Q63" s="4">
        <v>2027</v>
      </c>
      <c r="R63" s="4" t="s">
        <v>12</v>
      </c>
      <c r="T63" s="10"/>
      <c r="U63" s="12"/>
    </row>
    <row r="64" spans="1:21" ht="15" customHeight="1" x14ac:dyDescent="0.3">
      <c r="A64" s="7">
        <v>46376</v>
      </c>
      <c r="B64" s="10">
        <f t="shared" si="0"/>
        <v>24057.779999999988</v>
      </c>
      <c r="C64" s="10">
        <v>21536.669999999991</v>
      </c>
      <c r="D64" s="10">
        <v>1205.8900000000001</v>
      </c>
      <c r="E64" s="10">
        <v>1256.53</v>
      </c>
      <c r="F64" s="10">
        <v>58.69</v>
      </c>
      <c r="H64" s="8"/>
      <c r="I64" s="2" t="s">
        <v>399</v>
      </c>
      <c r="J64" s="2" t="s">
        <v>400</v>
      </c>
      <c r="K64" s="2" t="s">
        <v>14</v>
      </c>
      <c r="L64" s="3">
        <v>46692</v>
      </c>
      <c r="M64" s="3">
        <v>45792</v>
      </c>
      <c r="N64" s="2" t="s">
        <v>18</v>
      </c>
      <c r="O64" s="2" t="s">
        <v>19</v>
      </c>
      <c r="P64" s="2">
        <v>257.48</v>
      </c>
      <c r="Q64" s="2">
        <v>2027</v>
      </c>
      <c r="R64" s="2" t="s">
        <v>12</v>
      </c>
      <c r="T64" s="10"/>
      <c r="U64" s="12"/>
    </row>
    <row r="65" spans="1:21" ht="15" customHeight="1" x14ac:dyDescent="0.3">
      <c r="A65" s="7">
        <v>46407</v>
      </c>
      <c r="B65" s="10">
        <f t="shared" si="0"/>
        <v>24330.569999999989</v>
      </c>
      <c r="C65" s="10">
        <v>21536.669999999991</v>
      </c>
      <c r="D65" s="10">
        <v>1463.19</v>
      </c>
      <c r="E65" s="10">
        <v>1256.53</v>
      </c>
      <c r="F65" s="10">
        <v>74.179999999999993</v>
      </c>
      <c r="H65" s="8"/>
      <c r="I65" s="4" t="s">
        <v>401</v>
      </c>
      <c r="J65" s="4" t="s">
        <v>402</v>
      </c>
      <c r="K65" s="4" t="s">
        <v>360</v>
      </c>
      <c r="L65" s="5">
        <v>46702</v>
      </c>
      <c r="M65" s="5">
        <v>45950</v>
      </c>
      <c r="N65" s="4" t="s">
        <v>18</v>
      </c>
      <c r="O65" s="4" t="s">
        <v>19</v>
      </c>
      <c r="P65" s="4">
        <v>303.7</v>
      </c>
      <c r="Q65" s="4">
        <v>2027</v>
      </c>
      <c r="R65" s="4" t="s">
        <v>11</v>
      </c>
      <c r="T65" s="10"/>
      <c r="U65" s="12"/>
    </row>
    <row r="66" spans="1:21" ht="15" customHeight="1" x14ac:dyDescent="0.3">
      <c r="A66" s="7">
        <v>46438</v>
      </c>
      <c r="B66" s="10">
        <f t="shared" si="0"/>
        <v>24607.669999999991</v>
      </c>
      <c r="C66" s="10">
        <v>21536.669999999991</v>
      </c>
      <c r="D66" s="10">
        <v>1566.72</v>
      </c>
      <c r="E66" s="10">
        <v>1410.3</v>
      </c>
      <c r="F66" s="10">
        <v>93.98</v>
      </c>
      <c r="H66" s="8"/>
      <c r="I66" s="2" t="s">
        <v>60</v>
      </c>
      <c r="J66" s="2" t="s">
        <v>61</v>
      </c>
      <c r="K66" s="2" t="s">
        <v>52</v>
      </c>
      <c r="L66" s="3">
        <v>46708</v>
      </c>
      <c r="M66" s="3">
        <v>45084</v>
      </c>
      <c r="N66" s="2" t="s">
        <v>18</v>
      </c>
      <c r="O66" s="2" t="s">
        <v>19</v>
      </c>
      <c r="P66" s="2">
        <v>310.58</v>
      </c>
      <c r="Q66" s="2">
        <v>2027</v>
      </c>
      <c r="R66" s="2" t="s">
        <v>12</v>
      </c>
      <c r="T66" s="10"/>
      <c r="U66" s="12"/>
    </row>
    <row r="67" spans="1:21" ht="15" customHeight="1" x14ac:dyDescent="0.3">
      <c r="A67" s="7">
        <v>46466</v>
      </c>
      <c r="B67" s="10">
        <f t="shared" si="0"/>
        <v>25013.189999999988</v>
      </c>
      <c r="C67" s="10">
        <v>21536.669999999991</v>
      </c>
      <c r="D67" s="10">
        <v>1952.26</v>
      </c>
      <c r="E67" s="10">
        <v>1410.3</v>
      </c>
      <c r="F67" s="10">
        <v>113.96</v>
      </c>
      <c r="H67" s="8"/>
      <c r="I67" s="4" t="s">
        <v>474</v>
      </c>
      <c r="J67" s="4" t="s">
        <v>475</v>
      </c>
      <c r="K67" s="4" t="s">
        <v>66</v>
      </c>
      <c r="L67" s="5">
        <v>46722</v>
      </c>
      <c r="M67" s="5">
        <v>45519</v>
      </c>
      <c r="N67" s="4" t="s">
        <v>18</v>
      </c>
      <c r="O67" s="4" t="s">
        <v>19</v>
      </c>
      <c r="P67" s="4">
        <v>153.55000000000001</v>
      </c>
      <c r="Q67" s="4">
        <v>2027</v>
      </c>
      <c r="R67" s="4" t="s">
        <v>12</v>
      </c>
      <c r="T67" s="10"/>
      <c r="U67" s="12"/>
    </row>
    <row r="68" spans="1:21" ht="15" customHeight="1" x14ac:dyDescent="0.3">
      <c r="A68" s="7">
        <v>46497</v>
      </c>
      <c r="B68" s="10">
        <f t="shared" si="0"/>
        <v>25378.909999999989</v>
      </c>
      <c r="C68" s="10">
        <v>21536.669999999991</v>
      </c>
      <c r="D68" s="10">
        <v>2317.9799999999996</v>
      </c>
      <c r="E68" s="10">
        <v>1410.3</v>
      </c>
      <c r="F68" s="10">
        <v>113.96</v>
      </c>
      <c r="H68" s="8"/>
      <c r="I68" s="2" t="s">
        <v>476</v>
      </c>
      <c r="J68" s="2" t="s">
        <v>477</v>
      </c>
      <c r="K68" s="2" t="s">
        <v>52</v>
      </c>
      <c r="L68" s="3">
        <v>46722</v>
      </c>
      <c r="M68" s="3">
        <v>44946</v>
      </c>
      <c r="N68" s="2" t="s">
        <v>18</v>
      </c>
      <c r="O68" s="2" t="s">
        <v>19</v>
      </c>
      <c r="P68" s="2">
        <v>255.33</v>
      </c>
      <c r="Q68" s="2">
        <v>2027</v>
      </c>
      <c r="R68" s="2" t="s">
        <v>12</v>
      </c>
      <c r="T68" s="10"/>
      <c r="U68" s="12"/>
    </row>
    <row r="69" spans="1:21" ht="15" customHeight="1" x14ac:dyDescent="0.3">
      <c r="A69" s="7">
        <v>46527</v>
      </c>
      <c r="B69" s="10">
        <f t="shared" si="0"/>
        <v>26217.689999999988</v>
      </c>
      <c r="C69" s="10">
        <v>21536.669999999991</v>
      </c>
      <c r="D69" s="10">
        <v>2900.7599999999998</v>
      </c>
      <c r="E69" s="10">
        <v>1666.3</v>
      </c>
      <c r="F69" s="10">
        <v>113.96</v>
      </c>
      <c r="H69" s="8"/>
      <c r="I69" s="4" t="s">
        <v>83</v>
      </c>
      <c r="J69" s="4" t="s">
        <v>84</v>
      </c>
      <c r="K69" s="4" t="s">
        <v>82</v>
      </c>
      <c r="L69" s="5">
        <v>46722</v>
      </c>
      <c r="M69" s="5">
        <v>45475</v>
      </c>
      <c r="N69" s="4" t="s">
        <v>18</v>
      </c>
      <c r="O69" s="4" t="s">
        <v>19</v>
      </c>
      <c r="P69" s="4">
        <v>103.65</v>
      </c>
      <c r="Q69" s="4">
        <v>2027</v>
      </c>
      <c r="R69" s="4" t="s">
        <v>12</v>
      </c>
      <c r="T69" s="10"/>
      <c r="U69" s="12"/>
    </row>
    <row r="70" spans="1:21" ht="15" customHeight="1" x14ac:dyDescent="0.3">
      <c r="A70" s="7">
        <v>46558</v>
      </c>
      <c r="B70" s="10">
        <f t="shared" si="0"/>
        <v>27481.479999999992</v>
      </c>
      <c r="C70" s="10">
        <v>21536.669999999991</v>
      </c>
      <c r="D70" s="10">
        <v>3519.13</v>
      </c>
      <c r="E70" s="10">
        <v>2311.7199999999998</v>
      </c>
      <c r="F70" s="10">
        <v>113.96</v>
      </c>
      <c r="H70" s="8"/>
      <c r="I70" s="2" t="s">
        <v>478</v>
      </c>
      <c r="J70" s="2" t="s">
        <v>479</v>
      </c>
      <c r="K70" s="2" t="s">
        <v>17</v>
      </c>
      <c r="L70" s="3">
        <v>46722</v>
      </c>
      <c r="M70" s="3">
        <v>45665</v>
      </c>
      <c r="N70" s="2" t="s">
        <v>18</v>
      </c>
      <c r="O70" s="2" t="s">
        <v>19</v>
      </c>
      <c r="P70" s="2">
        <v>208.9</v>
      </c>
      <c r="Q70" s="2">
        <v>2027</v>
      </c>
      <c r="R70" s="2" t="s">
        <v>11</v>
      </c>
      <c r="T70" s="10"/>
      <c r="U70" s="12"/>
    </row>
    <row r="71" spans="1:21" ht="15" customHeight="1" x14ac:dyDescent="0.3">
      <c r="A71" s="7">
        <v>46588</v>
      </c>
      <c r="B71" s="10">
        <f t="shared" si="0"/>
        <v>29647.69999999999</v>
      </c>
      <c r="C71" s="10">
        <v>21536.669999999991</v>
      </c>
      <c r="D71" s="10">
        <v>4815.4000000000005</v>
      </c>
      <c r="E71" s="10">
        <v>3181.67</v>
      </c>
      <c r="F71" s="10">
        <v>113.96</v>
      </c>
      <c r="H71" s="8"/>
      <c r="I71" s="4" t="s">
        <v>480</v>
      </c>
      <c r="J71" s="4" t="s">
        <v>481</v>
      </c>
      <c r="K71" s="4" t="s">
        <v>107</v>
      </c>
      <c r="L71" s="5">
        <v>46722</v>
      </c>
      <c r="M71" s="5">
        <v>46122</v>
      </c>
      <c r="N71" s="4" t="s">
        <v>18</v>
      </c>
      <c r="O71" s="4" t="s">
        <v>19</v>
      </c>
      <c r="P71" s="4">
        <v>102.1</v>
      </c>
      <c r="Q71" s="4">
        <v>2027</v>
      </c>
      <c r="R71" s="4" t="s">
        <v>11</v>
      </c>
      <c r="T71" s="10"/>
      <c r="U71" s="12"/>
    </row>
    <row r="72" spans="1:21" ht="15" customHeight="1" x14ac:dyDescent="0.3">
      <c r="A72" s="7">
        <v>46619</v>
      </c>
      <c r="B72" s="10">
        <f t="shared" si="0"/>
        <v>30069.899999999994</v>
      </c>
      <c r="C72" s="10">
        <v>21536.669999999991</v>
      </c>
      <c r="D72" s="10">
        <v>4815.4000000000005</v>
      </c>
      <c r="E72" s="10">
        <v>3593.88</v>
      </c>
      <c r="F72" s="10">
        <v>123.94999999999999</v>
      </c>
      <c r="H72" s="8"/>
      <c r="I72" s="2" t="s">
        <v>482</v>
      </c>
      <c r="J72" s="2" t="s">
        <v>483</v>
      </c>
      <c r="K72" s="2" t="s">
        <v>93</v>
      </c>
      <c r="L72" s="3">
        <v>46741</v>
      </c>
      <c r="M72" s="3">
        <v>45527</v>
      </c>
      <c r="N72" s="2" t="s">
        <v>18</v>
      </c>
      <c r="O72" s="2" t="s">
        <v>19</v>
      </c>
      <c r="P72" s="2">
        <v>300.89999999999998</v>
      </c>
      <c r="Q72" s="2">
        <v>2027</v>
      </c>
      <c r="R72" s="2" t="s">
        <v>11</v>
      </c>
      <c r="T72" s="10"/>
      <c r="U72" s="12"/>
    </row>
    <row r="73" spans="1:21" ht="15" customHeight="1" x14ac:dyDescent="0.3">
      <c r="A73" s="7">
        <v>46650</v>
      </c>
      <c r="B73" s="10">
        <f t="shared" si="0"/>
        <v>31040.359999999993</v>
      </c>
      <c r="C73" s="10">
        <v>21536.669999999991</v>
      </c>
      <c r="D73" s="10">
        <v>5310.880000000001</v>
      </c>
      <c r="E73" s="10">
        <v>4068.8599999999997</v>
      </c>
      <c r="F73" s="10">
        <v>123.94999999999999</v>
      </c>
      <c r="H73" s="8"/>
      <c r="I73" s="4" t="s">
        <v>484</v>
      </c>
      <c r="J73" s="4" t="s">
        <v>485</v>
      </c>
      <c r="K73" s="4" t="s">
        <v>14</v>
      </c>
      <c r="L73" s="5">
        <v>46751</v>
      </c>
      <c r="M73" s="5">
        <v>45166</v>
      </c>
      <c r="N73" s="4" t="s">
        <v>18</v>
      </c>
      <c r="O73" s="4" t="s">
        <v>19</v>
      </c>
      <c r="P73" s="4">
        <v>100.62</v>
      </c>
      <c r="Q73" s="4">
        <v>2027</v>
      </c>
      <c r="R73" s="4" t="s">
        <v>11</v>
      </c>
      <c r="T73" s="10"/>
      <c r="U73" s="12"/>
    </row>
    <row r="74" spans="1:21" ht="15" customHeight="1" x14ac:dyDescent="0.3">
      <c r="A74" s="7">
        <v>46680</v>
      </c>
      <c r="B74" s="10">
        <f>SUM(C74:F74)</f>
        <v>31953.379999999994</v>
      </c>
      <c r="C74" s="10">
        <v>21536.669999999991</v>
      </c>
      <c r="D74" s="10">
        <v>5619.7600000000011</v>
      </c>
      <c r="E74" s="10">
        <v>4672.9999999999991</v>
      </c>
      <c r="F74" s="10">
        <v>123.94999999999999</v>
      </c>
      <c r="H74" s="8"/>
      <c r="I74" s="2" t="s">
        <v>486</v>
      </c>
      <c r="J74" s="2" t="s">
        <v>487</v>
      </c>
      <c r="K74" s="2" t="s">
        <v>103</v>
      </c>
      <c r="L74" s="3">
        <v>46752</v>
      </c>
      <c r="M74" s="3">
        <v>46015</v>
      </c>
      <c r="N74" s="2" t="s">
        <v>18</v>
      </c>
      <c r="O74" s="2" t="s">
        <v>19</v>
      </c>
      <c r="P74" s="2">
        <v>100.8</v>
      </c>
      <c r="Q74" s="2">
        <v>2027</v>
      </c>
      <c r="R74" s="2" t="s">
        <v>11</v>
      </c>
      <c r="T74" s="10"/>
      <c r="U74" s="12"/>
    </row>
    <row r="75" spans="1:21" ht="15" customHeight="1" x14ac:dyDescent="0.3">
      <c r="A75" s="7">
        <v>46711</v>
      </c>
      <c r="B75" s="10">
        <f t="shared" si="0"/>
        <v>32825.139999999985</v>
      </c>
      <c r="C75" s="10">
        <v>21536.669999999991</v>
      </c>
      <c r="D75" s="10">
        <v>6187.8200000000015</v>
      </c>
      <c r="E75" s="10">
        <v>4976.6999999999989</v>
      </c>
      <c r="F75" s="10">
        <v>123.94999999999999</v>
      </c>
      <c r="H75" s="8"/>
      <c r="I75" s="4" t="s">
        <v>512</v>
      </c>
      <c r="J75" s="4" t="s">
        <v>513</v>
      </c>
      <c r="K75" s="4" t="s">
        <v>514</v>
      </c>
      <c r="L75" s="5">
        <v>46752</v>
      </c>
      <c r="M75" s="5">
        <v>45917</v>
      </c>
      <c r="N75" s="4" t="s">
        <v>18</v>
      </c>
      <c r="O75" s="4" t="s">
        <v>19</v>
      </c>
      <c r="P75" s="4">
        <v>176.13</v>
      </c>
      <c r="Q75" s="4">
        <v>2027</v>
      </c>
      <c r="R75" s="4" t="s">
        <v>12</v>
      </c>
      <c r="T75" s="10"/>
      <c r="U75" s="12"/>
    </row>
    <row r="76" spans="1:21" ht="15" customHeight="1" x14ac:dyDescent="0.3">
      <c r="A76" s="7">
        <v>46741</v>
      </c>
      <c r="B76" s="10">
        <f t="shared" si="0"/>
        <v>34818.19999999999</v>
      </c>
      <c r="C76" s="10">
        <v>21536.669999999991</v>
      </c>
      <c r="D76" s="10">
        <v>7077.5600000000013</v>
      </c>
      <c r="E76" s="10">
        <v>6080.0199999999986</v>
      </c>
      <c r="F76" s="10">
        <v>123.94999999999999</v>
      </c>
      <c r="H76" s="8"/>
      <c r="I76" s="2" t="s">
        <v>488</v>
      </c>
      <c r="J76" s="2" t="s">
        <v>489</v>
      </c>
      <c r="K76" s="2" t="s">
        <v>24</v>
      </c>
      <c r="L76" s="3">
        <v>46752</v>
      </c>
      <c r="M76" s="3">
        <v>45750</v>
      </c>
      <c r="N76" s="2" t="s">
        <v>18</v>
      </c>
      <c r="O76" s="2" t="s">
        <v>19</v>
      </c>
      <c r="P76" s="2">
        <v>201.08</v>
      </c>
      <c r="Q76" s="2">
        <v>2027</v>
      </c>
      <c r="R76" s="2" t="s">
        <v>12</v>
      </c>
      <c r="T76" s="10"/>
      <c r="U76" s="12"/>
    </row>
    <row r="77" spans="1:21" ht="15" customHeight="1" x14ac:dyDescent="0.3">
      <c r="A77" s="7">
        <v>46772</v>
      </c>
      <c r="B77" s="10">
        <f t="shared" si="0"/>
        <v>35712.939999999988</v>
      </c>
      <c r="C77" s="10">
        <v>21536.669999999991</v>
      </c>
      <c r="D77" s="10">
        <v>7391.3000000000011</v>
      </c>
      <c r="E77" s="10">
        <v>6661.0199999999986</v>
      </c>
      <c r="F77" s="10">
        <v>123.94999999999999</v>
      </c>
      <c r="H77" s="8"/>
      <c r="I77" s="4" t="s">
        <v>490</v>
      </c>
      <c r="J77" s="4" t="s">
        <v>491</v>
      </c>
      <c r="K77" s="4" t="s">
        <v>216</v>
      </c>
      <c r="L77" s="5">
        <v>46752</v>
      </c>
      <c r="M77" s="5">
        <v>46021</v>
      </c>
      <c r="N77" s="4" t="s">
        <v>18</v>
      </c>
      <c r="O77" s="4" t="s">
        <v>19</v>
      </c>
      <c r="P77" s="4">
        <v>290</v>
      </c>
      <c r="Q77" s="4">
        <v>2027</v>
      </c>
      <c r="R77" s="4" t="s">
        <v>11</v>
      </c>
      <c r="T77" s="10"/>
      <c r="U77" s="12"/>
    </row>
    <row r="78" spans="1:21" ht="15" customHeight="1" x14ac:dyDescent="0.3">
      <c r="A78" s="7">
        <v>46803</v>
      </c>
      <c r="B78" s="10">
        <f t="shared" si="0"/>
        <v>36757.37999999999</v>
      </c>
      <c r="C78" s="10">
        <v>21536.669999999991</v>
      </c>
      <c r="D78" s="10">
        <v>8179.4000000000015</v>
      </c>
      <c r="E78" s="10">
        <v>6917.3599999999988</v>
      </c>
      <c r="F78" s="10">
        <v>123.94999999999999</v>
      </c>
      <c r="H78" s="8"/>
      <c r="I78" s="2" t="s">
        <v>515</v>
      </c>
      <c r="J78" s="2" t="s">
        <v>516</v>
      </c>
      <c r="K78" s="2" t="s">
        <v>103</v>
      </c>
      <c r="L78" s="3">
        <v>46753</v>
      </c>
      <c r="M78" s="3">
        <v>45811</v>
      </c>
      <c r="N78" s="2" t="s">
        <v>18</v>
      </c>
      <c r="O78" s="2" t="s">
        <v>19</v>
      </c>
      <c r="P78" s="2">
        <v>210.74</v>
      </c>
      <c r="Q78" s="2">
        <v>2028</v>
      </c>
      <c r="R78" s="2" t="s">
        <v>12</v>
      </c>
      <c r="T78" s="10"/>
      <c r="U78" s="12"/>
    </row>
    <row r="79" spans="1:21" ht="15" customHeight="1" x14ac:dyDescent="0.3">
      <c r="I79" s="4" t="s">
        <v>517</v>
      </c>
      <c r="J79" s="4" t="s">
        <v>518</v>
      </c>
      <c r="K79" s="4" t="s">
        <v>14</v>
      </c>
      <c r="L79" s="5">
        <v>46753</v>
      </c>
      <c r="M79" s="5">
        <v>45804</v>
      </c>
      <c r="N79" s="4" t="s">
        <v>18</v>
      </c>
      <c r="O79" s="4" t="s">
        <v>19</v>
      </c>
      <c r="P79" s="4">
        <v>418.6</v>
      </c>
      <c r="Q79" s="4">
        <v>2028</v>
      </c>
      <c r="R79" s="4" t="s">
        <v>11</v>
      </c>
    </row>
    <row r="80" spans="1:21" ht="15" customHeight="1" x14ac:dyDescent="0.3">
      <c r="I80" s="2" t="s">
        <v>519</v>
      </c>
      <c r="J80" s="2" t="s">
        <v>520</v>
      </c>
      <c r="K80" s="2" t="s">
        <v>235</v>
      </c>
      <c r="L80" s="3">
        <v>46761</v>
      </c>
      <c r="M80" s="3">
        <v>45495</v>
      </c>
      <c r="N80" s="2" t="s">
        <v>18</v>
      </c>
      <c r="O80" s="2" t="s">
        <v>19</v>
      </c>
      <c r="P80" s="2">
        <v>162.4</v>
      </c>
      <c r="Q80" s="2">
        <v>2028</v>
      </c>
      <c r="R80" s="2" t="s">
        <v>11</v>
      </c>
    </row>
    <row r="81" spans="1:18" ht="15" customHeight="1" x14ac:dyDescent="0.3">
      <c r="I81" s="4" t="s">
        <v>521</v>
      </c>
      <c r="J81" s="4" t="s">
        <v>522</v>
      </c>
      <c r="K81" s="4" t="s">
        <v>17</v>
      </c>
      <c r="L81" s="5">
        <v>46783</v>
      </c>
      <c r="M81" s="5">
        <v>45664</v>
      </c>
      <c r="N81" s="4" t="s">
        <v>18</v>
      </c>
      <c r="O81" s="4" t="s">
        <v>19</v>
      </c>
      <c r="P81" s="4">
        <v>103</v>
      </c>
      <c r="Q81" s="4">
        <v>2028</v>
      </c>
      <c r="R81" s="4" t="s">
        <v>12</v>
      </c>
    </row>
    <row r="82" spans="1:18" ht="15" customHeight="1" x14ac:dyDescent="0.3">
      <c r="I82" s="2" t="s">
        <v>547</v>
      </c>
      <c r="J82" s="2" t="s">
        <v>548</v>
      </c>
      <c r="K82" s="2" t="s">
        <v>129</v>
      </c>
      <c r="L82" s="3">
        <v>46795</v>
      </c>
      <c r="M82" s="3">
        <v>45576</v>
      </c>
      <c r="N82" s="2" t="s">
        <v>18</v>
      </c>
      <c r="O82" s="2" t="s">
        <v>19</v>
      </c>
      <c r="P82" s="2">
        <v>156</v>
      </c>
      <c r="Q82" s="2">
        <v>2028</v>
      </c>
      <c r="R82" s="2" t="s">
        <v>12</v>
      </c>
    </row>
    <row r="83" spans="1:18" ht="15" customHeight="1" x14ac:dyDescent="0.3">
      <c r="I83" s="4" t="s">
        <v>549</v>
      </c>
      <c r="J83" s="4" t="s">
        <v>550</v>
      </c>
      <c r="K83" s="4" t="s">
        <v>129</v>
      </c>
      <c r="L83" s="5">
        <v>46795</v>
      </c>
      <c r="M83" s="5">
        <v>45576</v>
      </c>
      <c r="N83" s="4" t="s">
        <v>18</v>
      </c>
      <c r="O83" s="4" t="s">
        <v>19</v>
      </c>
      <c r="P83" s="4">
        <v>156</v>
      </c>
      <c r="Q83" s="4">
        <v>2028</v>
      </c>
      <c r="R83" s="4" t="s">
        <v>12</v>
      </c>
    </row>
    <row r="84" spans="1:18" ht="15" customHeight="1" x14ac:dyDescent="0.3">
      <c r="I84" s="2" t="s">
        <v>349</v>
      </c>
      <c r="J84" s="2" t="s">
        <v>350</v>
      </c>
      <c r="K84" s="2" t="s">
        <v>14</v>
      </c>
      <c r="L84" s="3">
        <v>46810</v>
      </c>
      <c r="M84" s="3">
        <v>45882</v>
      </c>
      <c r="N84" s="2" t="s">
        <v>18</v>
      </c>
      <c r="O84" s="2" t="s">
        <v>19</v>
      </c>
      <c r="P84" s="2">
        <v>256.33999999999997</v>
      </c>
      <c r="Q84" s="2">
        <v>2028</v>
      </c>
      <c r="R84" s="2" t="s">
        <v>11</v>
      </c>
    </row>
    <row r="85" spans="1:18" ht="15" customHeight="1" x14ac:dyDescent="0.3">
      <c r="I85" s="4" t="s">
        <v>551</v>
      </c>
      <c r="J85" s="4" t="s">
        <v>552</v>
      </c>
      <c r="K85" s="4" t="s">
        <v>151</v>
      </c>
      <c r="L85" s="5">
        <v>46811</v>
      </c>
      <c r="M85" s="5">
        <v>45376</v>
      </c>
      <c r="N85" s="4" t="s">
        <v>18</v>
      </c>
      <c r="O85" s="4" t="s">
        <v>19</v>
      </c>
      <c r="P85" s="4">
        <v>170.85</v>
      </c>
      <c r="Q85" s="4">
        <v>2028</v>
      </c>
      <c r="R85" s="4" t="s">
        <v>12</v>
      </c>
    </row>
    <row r="86" spans="1:18" ht="15" customHeight="1" x14ac:dyDescent="0.3">
      <c r="I86" s="2" t="s">
        <v>553</v>
      </c>
      <c r="J86" s="2" t="s">
        <v>554</v>
      </c>
      <c r="K86" s="2" t="s">
        <v>14</v>
      </c>
      <c r="L86" s="3">
        <v>46811</v>
      </c>
      <c r="M86" s="3">
        <v>45517</v>
      </c>
      <c r="N86" s="2" t="s">
        <v>18</v>
      </c>
      <c r="O86" s="2" t="s">
        <v>19</v>
      </c>
      <c r="P86" s="2">
        <v>150.6</v>
      </c>
      <c r="Q86" s="2">
        <v>2028</v>
      </c>
      <c r="R86" s="2" t="s">
        <v>12</v>
      </c>
    </row>
    <row r="87" spans="1:18" ht="15" customHeight="1" x14ac:dyDescent="0.3">
      <c r="I87" s="20" t="s">
        <v>555</v>
      </c>
      <c r="J87" s="20" t="s">
        <v>556</v>
      </c>
      <c r="K87" s="20" t="s">
        <v>224</v>
      </c>
      <c r="L87" s="21">
        <v>46812</v>
      </c>
      <c r="M87" s="21">
        <v>45404</v>
      </c>
      <c r="N87" s="20" t="s">
        <v>18</v>
      </c>
      <c r="O87" s="20" t="s">
        <v>19</v>
      </c>
      <c r="P87" s="20">
        <v>154.65</v>
      </c>
      <c r="Q87" s="20">
        <v>2028</v>
      </c>
      <c r="R87" s="20" t="s">
        <v>12</v>
      </c>
    </row>
    <row r="88" spans="1:18" ht="15" customHeight="1" x14ac:dyDescent="0.3">
      <c r="A88" s="7"/>
      <c r="B88" s="10"/>
      <c r="C88" s="10"/>
      <c r="D88" s="10"/>
      <c r="E88" s="10"/>
      <c r="F88" s="10"/>
      <c r="L88"/>
      <c r="M88"/>
    </row>
    <row r="89" spans="1:18" ht="15" customHeight="1" x14ac:dyDescent="0.3">
      <c r="A89" s="7"/>
      <c r="B89" s="10"/>
      <c r="C89" s="10"/>
      <c r="D89" s="10"/>
      <c r="E89" s="10"/>
      <c r="F89" s="10"/>
      <c r="I89" s="15" t="s">
        <v>48</v>
      </c>
      <c r="L89"/>
      <c r="M89"/>
    </row>
    <row r="90" spans="1:18" ht="15" customHeight="1" x14ac:dyDescent="0.3">
      <c r="A90" s="7"/>
      <c r="B90" s="10"/>
      <c r="C90" s="10"/>
      <c r="D90" s="10"/>
      <c r="E90" s="10"/>
      <c r="F90" s="10"/>
      <c r="I90" s="16" t="s">
        <v>0</v>
      </c>
      <c r="J90" s="17" t="s">
        <v>1</v>
      </c>
      <c r="K90" s="17" t="s">
        <v>2</v>
      </c>
      <c r="L90" s="17" t="s">
        <v>3</v>
      </c>
      <c r="M90" s="17" t="s">
        <v>4</v>
      </c>
      <c r="N90" s="17" t="s">
        <v>5</v>
      </c>
      <c r="O90" s="17" t="s">
        <v>6</v>
      </c>
      <c r="P90" s="17" t="s">
        <v>7</v>
      </c>
      <c r="Q90" s="17" t="s">
        <v>8</v>
      </c>
      <c r="R90" s="17" t="s">
        <v>9</v>
      </c>
    </row>
    <row r="91" spans="1:18" ht="15" customHeight="1" x14ac:dyDescent="0.3">
      <c r="A91" s="7"/>
      <c r="B91" s="10"/>
      <c r="C91" s="10"/>
      <c r="D91" s="10"/>
      <c r="E91" s="10"/>
      <c r="F91" s="10"/>
      <c r="I91" s="4" t="s">
        <v>376</v>
      </c>
      <c r="J91" s="4" t="s">
        <v>377</v>
      </c>
      <c r="K91" s="4" t="s">
        <v>17</v>
      </c>
      <c r="L91" s="5">
        <v>46330</v>
      </c>
      <c r="M91" s="5">
        <v>45411</v>
      </c>
      <c r="N91" s="4" t="s">
        <v>18</v>
      </c>
      <c r="O91" s="4" t="s">
        <v>19</v>
      </c>
      <c r="P91" s="4">
        <v>9.5</v>
      </c>
      <c r="Q91" s="4">
        <v>2026</v>
      </c>
      <c r="R91" s="4" t="s">
        <v>12</v>
      </c>
    </row>
    <row r="92" spans="1:18" ht="15" customHeight="1" x14ac:dyDescent="0.3">
      <c r="A92" s="7"/>
      <c r="B92" s="10"/>
      <c r="C92" s="10"/>
      <c r="D92" s="10"/>
      <c r="E92" s="10"/>
      <c r="F92" s="10"/>
      <c r="I92" s="18" t="s">
        <v>378</v>
      </c>
      <c r="J92" s="18" t="s">
        <v>379</v>
      </c>
      <c r="K92" s="18" t="s">
        <v>41</v>
      </c>
      <c r="L92" s="19">
        <v>46330</v>
      </c>
      <c r="M92" s="19">
        <v>45411</v>
      </c>
      <c r="N92" s="18" t="s">
        <v>18</v>
      </c>
      <c r="O92" s="18" t="s">
        <v>19</v>
      </c>
      <c r="P92" s="18">
        <v>9.5</v>
      </c>
      <c r="Q92" s="18">
        <v>2026</v>
      </c>
      <c r="R92" s="18" t="s">
        <v>12</v>
      </c>
    </row>
    <row r="93" spans="1:18" ht="15" customHeight="1" x14ac:dyDescent="0.3">
      <c r="A93" s="7"/>
      <c r="B93" s="10"/>
      <c r="C93" s="10"/>
      <c r="D93" s="10"/>
      <c r="E93" s="10"/>
      <c r="F93" s="10"/>
      <c r="I93" s="4" t="s">
        <v>403</v>
      </c>
      <c r="J93" s="4" t="s">
        <v>404</v>
      </c>
      <c r="K93" s="4" t="s">
        <v>382</v>
      </c>
      <c r="L93" s="5">
        <v>46340</v>
      </c>
      <c r="M93" s="5">
        <v>46170</v>
      </c>
      <c r="N93" s="4" t="s">
        <v>18</v>
      </c>
      <c r="O93" s="4" t="s">
        <v>19</v>
      </c>
      <c r="P93" s="4">
        <v>9.9</v>
      </c>
      <c r="Q93" s="4">
        <v>2026</v>
      </c>
      <c r="R93" s="4" t="s">
        <v>12</v>
      </c>
    </row>
    <row r="94" spans="1:18" ht="15" customHeight="1" x14ac:dyDescent="0.3">
      <c r="A94" s="7"/>
      <c r="B94" s="10"/>
      <c r="C94" s="10"/>
      <c r="D94" s="10"/>
      <c r="E94" s="10"/>
      <c r="F94" s="10"/>
      <c r="I94" s="18" t="s">
        <v>114</v>
      </c>
      <c r="J94" s="18" t="s">
        <v>115</v>
      </c>
      <c r="K94" s="18" t="s">
        <v>50</v>
      </c>
      <c r="L94" s="19">
        <v>46353</v>
      </c>
      <c r="M94" s="19">
        <v>45750</v>
      </c>
      <c r="N94" s="18" t="s">
        <v>18</v>
      </c>
      <c r="O94" s="18" t="s">
        <v>19</v>
      </c>
      <c r="P94" s="18">
        <v>9.9</v>
      </c>
      <c r="Q94" s="18">
        <v>2026</v>
      </c>
      <c r="R94" s="18" t="s">
        <v>12</v>
      </c>
    </row>
    <row r="95" spans="1:18" ht="15" customHeight="1" x14ac:dyDescent="0.3">
      <c r="A95" s="7"/>
      <c r="B95" s="10"/>
      <c r="C95" s="10"/>
      <c r="D95" s="10"/>
      <c r="E95" s="10"/>
      <c r="F95" s="10"/>
      <c r="I95" s="4" t="s">
        <v>380</v>
      </c>
      <c r="J95" s="4" t="s">
        <v>381</v>
      </c>
      <c r="K95" s="4" t="s">
        <v>382</v>
      </c>
      <c r="L95" s="5">
        <v>46364</v>
      </c>
      <c r="M95" s="5">
        <v>45747</v>
      </c>
      <c r="N95" s="4" t="s">
        <v>18</v>
      </c>
      <c r="O95" s="4" t="s">
        <v>19</v>
      </c>
      <c r="P95" s="4">
        <v>9.9</v>
      </c>
      <c r="Q95" s="4">
        <v>2026</v>
      </c>
      <c r="R95" s="4" t="s">
        <v>12</v>
      </c>
    </row>
    <row r="96" spans="1:18" ht="15" customHeight="1" x14ac:dyDescent="0.3">
      <c r="A96" s="7"/>
      <c r="B96" s="10"/>
      <c r="C96" s="10"/>
      <c r="D96" s="10"/>
      <c r="E96" s="10"/>
      <c r="F96" s="10"/>
      <c r="I96" s="18" t="s">
        <v>355</v>
      </c>
      <c r="J96" s="18" t="s">
        <v>356</v>
      </c>
      <c r="K96" s="18" t="s">
        <v>41</v>
      </c>
      <c r="L96" s="19">
        <v>46369</v>
      </c>
      <c r="M96" s="19">
        <v>45826</v>
      </c>
      <c r="N96" s="18" t="s">
        <v>18</v>
      </c>
      <c r="O96" s="18" t="s">
        <v>19</v>
      </c>
      <c r="P96" s="18">
        <v>9.99</v>
      </c>
      <c r="Q96" s="18">
        <v>2026</v>
      </c>
      <c r="R96" s="18" t="s">
        <v>12</v>
      </c>
    </row>
    <row r="97" spans="1:18" ht="15" customHeight="1" x14ac:dyDescent="0.3">
      <c r="A97" s="7"/>
      <c r="B97" s="10"/>
      <c r="C97" s="10"/>
      <c r="D97" s="10"/>
      <c r="E97" s="10"/>
      <c r="F97" s="10"/>
      <c r="I97" s="4" t="s">
        <v>314</v>
      </c>
      <c r="J97" s="4" t="s">
        <v>315</v>
      </c>
      <c r="K97" s="4" t="s">
        <v>14</v>
      </c>
      <c r="L97" s="5">
        <v>46409</v>
      </c>
      <c r="M97" s="5">
        <v>44179</v>
      </c>
      <c r="N97" s="4" t="s">
        <v>18</v>
      </c>
      <c r="O97" s="4" t="s">
        <v>19</v>
      </c>
      <c r="P97" s="4">
        <v>5.5</v>
      </c>
      <c r="Q97" s="4">
        <v>2027</v>
      </c>
      <c r="R97" s="4" t="s">
        <v>11</v>
      </c>
    </row>
    <row r="98" spans="1:18" ht="15" customHeight="1" x14ac:dyDescent="0.3">
      <c r="A98" s="7"/>
      <c r="B98" s="10"/>
      <c r="C98" s="10"/>
      <c r="D98" s="10"/>
      <c r="E98" s="10"/>
      <c r="F98" s="10"/>
      <c r="I98" s="18" t="s">
        <v>316</v>
      </c>
      <c r="J98" s="18" t="s">
        <v>317</v>
      </c>
      <c r="K98" s="18" t="s">
        <v>53</v>
      </c>
      <c r="L98" s="19">
        <v>46410</v>
      </c>
      <c r="M98" s="19">
        <v>46056</v>
      </c>
      <c r="N98" s="18" t="s">
        <v>18</v>
      </c>
      <c r="O98" s="18" t="s">
        <v>19</v>
      </c>
      <c r="P98" s="18">
        <v>9.99</v>
      </c>
      <c r="Q98" s="18">
        <v>2027</v>
      </c>
      <c r="R98" s="18" t="s">
        <v>12</v>
      </c>
    </row>
    <row r="99" spans="1:18" ht="15" customHeight="1" x14ac:dyDescent="0.3">
      <c r="A99" s="7"/>
      <c r="B99" s="10"/>
      <c r="C99" s="10"/>
      <c r="D99" s="10"/>
      <c r="E99" s="10"/>
      <c r="F99" s="10"/>
      <c r="I99" s="4" t="s">
        <v>523</v>
      </c>
      <c r="J99" s="4" t="s">
        <v>524</v>
      </c>
      <c r="K99" s="4" t="s">
        <v>367</v>
      </c>
      <c r="L99" s="5">
        <v>46440</v>
      </c>
      <c r="M99" s="5">
        <v>45637</v>
      </c>
      <c r="N99" s="4" t="s">
        <v>18</v>
      </c>
      <c r="O99" s="4" t="s">
        <v>19</v>
      </c>
      <c r="P99" s="4">
        <v>9.9</v>
      </c>
      <c r="Q99" s="4">
        <v>2027</v>
      </c>
      <c r="R99" s="4" t="s">
        <v>12</v>
      </c>
    </row>
    <row r="100" spans="1:18" ht="15" customHeight="1" x14ac:dyDescent="0.3">
      <c r="A100" s="7"/>
      <c r="B100" s="10"/>
      <c r="C100" s="10"/>
      <c r="D100" s="10"/>
      <c r="E100" s="10"/>
      <c r="F100" s="10"/>
      <c r="I100" s="18" t="s">
        <v>525</v>
      </c>
      <c r="J100" s="18" t="s">
        <v>526</v>
      </c>
      <c r="K100" s="18" t="s">
        <v>527</v>
      </c>
      <c r="L100" s="19">
        <v>46440</v>
      </c>
      <c r="M100" s="19">
        <v>45637</v>
      </c>
      <c r="N100" s="18" t="s">
        <v>18</v>
      </c>
      <c r="O100" s="18" t="s">
        <v>19</v>
      </c>
      <c r="P100" s="18">
        <v>9.9</v>
      </c>
      <c r="Q100" s="18">
        <v>2027</v>
      </c>
      <c r="R100" s="18" t="s">
        <v>12</v>
      </c>
    </row>
    <row r="101" spans="1:18" ht="15" customHeight="1" x14ac:dyDescent="0.3">
      <c r="A101" s="7"/>
      <c r="B101" s="10"/>
      <c r="C101" s="10"/>
      <c r="D101" s="10"/>
      <c r="E101" s="10"/>
      <c r="F101" s="10"/>
      <c r="I101" s="4" t="s">
        <v>557</v>
      </c>
      <c r="J101" s="4" t="s">
        <v>558</v>
      </c>
      <c r="K101" s="4" t="s">
        <v>34</v>
      </c>
      <c r="L101" s="5">
        <v>46447</v>
      </c>
      <c r="M101" s="5">
        <v>45411</v>
      </c>
      <c r="N101" s="4" t="s">
        <v>18</v>
      </c>
      <c r="O101" s="4" t="s">
        <v>19</v>
      </c>
      <c r="P101" s="4">
        <v>9.99</v>
      </c>
      <c r="Q101" s="4">
        <v>2027</v>
      </c>
      <c r="R101" s="4" t="s">
        <v>12</v>
      </c>
    </row>
    <row r="102" spans="1:18" ht="15" customHeight="1" x14ac:dyDescent="0.3">
      <c r="A102" s="7"/>
      <c r="B102" s="10"/>
      <c r="C102" s="10"/>
      <c r="D102" s="10"/>
      <c r="E102" s="10"/>
      <c r="F102" s="10"/>
      <c r="I102" s="18" t="s">
        <v>528</v>
      </c>
      <c r="J102" s="18" t="s">
        <v>529</v>
      </c>
      <c r="K102" s="18" t="s">
        <v>20</v>
      </c>
      <c r="L102" s="19">
        <v>46476</v>
      </c>
      <c r="M102" s="19">
        <v>44958</v>
      </c>
      <c r="N102" s="18" t="s">
        <v>18</v>
      </c>
      <c r="O102" s="18" t="s">
        <v>19</v>
      </c>
      <c r="P102" s="18">
        <v>9.99</v>
      </c>
      <c r="Q102" s="18">
        <v>2027</v>
      </c>
      <c r="R102" s="18" t="s">
        <v>12</v>
      </c>
    </row>
    <row r="103" spans="1:18" ht="15" customHeight="1" x14ac:dyDescent="0.3">
      <c r="A103" s="7"/>
      <c r="B103" s="10"/>
      <c r="C103" s="10"/>
      <c r="D103" s="10"/>
      <c r="E103" s="10"/>
      <c r="F103" s="10"/>
      <c r="I103" s="20" t="s">
        <v>318</v>
      </c>
      <c r="J103" s="20" t="s">
        <v>319</v>
      </c>
      <c r="K103" s="20" t="s">
        <v>14</v>
      </c>
      <c r="L103" s="21">
        <v>46620</v>
      </c>
      <c r="M103" s="21">
        <v>45205</v>
      </c>
      <c r="N103" s="20" t="s">
        <v>18</v>
      </c>
      <c r="O103" s="20" t="s">
        <v>19</v>
      </c>
      <c r="P103" s="20">
        <v>9.99</v>
      </c>
      <c r="Q103" s="20">
        <v>2027</v>
      </c>
      <c r="R103" s="20" t="s">
        <v>12</v>
      </c>
    </row>
    <row r="104" spans="1:18" ht="15" customHeight="1" x14ac:dyDescent="0.3">
      <c r="A104" s="7"/>
      <c r="B104" s="10"/>
      <c r="C104" s="10"/>
      <c r="D104" s="10"/>
      <c r="E104" s="10"/>
      <c r="F104" s="10"/>
      <c r="L104"/>
      <c r="M104"/>
    </row>
    <row r="105" spans="1:18" ht="15" customHeight="1" x14ac:dyDescent="0.3">
      <c r="B105" s="11"/>
      <c r="C105" s="11"/>
      <c r="D105" s="11"/>
      <c r="E105" s="11"/>
      <c r="F105" s="11"/>
      <c r="L105"/>
      <c r="M105"/>
    </row>
    <row r="106" spans="1:18" ht="15" customHeight="1" x14ac:dyDescent="0.3">
      <c r="B106" s="13"/>
      <c r="C106" s="13"/>
      <c r="D106" s="13"/>
      <c r="E106" s="13"/>
      <c r="F106" s="13"/>
      <c r="L106"/>
      <c r="M106"/>
    </row>
    <row r="107" spans="1:18" ht="15" customHeight="1" x14ac:dyDescent="0.3">
      <c r="B107" s="13"/>
      <c r="C107" s="13"/>
      <c r="D107" s="13"/>
      <c r="E107" s="13"/>
      <c r="F107" s="13"/>
      <c r="L107"/>
      <c r="M107"/>
    </row>
    <row r="108" spans="1:18" ht="15" customHeight="1" x14ac:dyDescent="0.3">
      <c r="B108" s="13"/>
      <c r="C108" s="13"/>
      <c r="D108" s="13"/>
      <c r="E108" s="13"/>
      <c r="F108" s="13"/>
      <c r="L108"/>
      <c r="M108"/>
    </row>
    <row r="109" spans="1:18" ht="15" customHeight="1" x14ac:dyDescent="0.3">
      <c r="B109" s="13"/>
      <c r="C109" s="13"/>
      <c r="D109" s="13"/>
      <c r="E109" s="13"/>
      <c r="F109" s="13"/>
      <c r="L109"/>
      <c r="M109"/>
    </row>
    <row r="110" spans="1:18" ht="15" customHeight="1" x14ac:dyDescent="0.3">
      <c r="B110" s="13"/>
      <c r="C110" s="13"/>
      <c r="D110" s="13"/>
      <c r="E110" s="13"/>
      <c r="F110" s="13"/>
      <c r="L110"/>
      <c r="M110"/>
    </row>
    <row r="111" spans="1:18" ht="15" customHeight="1" x14ac:dyDescent="0.3">
      <c r="B111" s="13"/>
      <c r="C111" s="13"/>
      <c r="D111" s="13"/>
      <c r="E111" s="13"/>
      <c r="F111" s="13"/>
      <c r="L111"/>
      <c r="M111"/>
    </row>
    <row r="112" spans="1:18" ht="15" customHeight="1" x14ac:dyDescent="0.3">
      <c r="B112" s="13"/>
      <c r="C112" s="13"/>
      <c r="D112" s="13"/>
      <c r="E112" s="13"/>
      <c r="F112" s="13"/>
      <c r="L112"/>
      <c r="M112"/>
    </row>
    <row r="113" spans="2:13" ht="15" customHeight="1" x14ac:dyDescent="0.3">
      <c r="B113" s="13"/>
      <c r="C113" s="13"/>
      <c r="D113" s="13"/>
      <c r="E113" s="13"/>
      <c r="F113" s="13"/>
      <c r="L113"/>
      <c r="M113"/>
    </row>
    <row r="114" spans="2:13" ht="15" customHeight="1" x14ac:dyDescent="0.3">
      <c r="B114" s="13"/>
      <c r="C114" s="13"/>
      <c r="D114" s="13"/>
      <c r="E114" s="13"/>
      <c r="F114" s="13"/>
      <c r="L114"/>
      <c r="M114"/>
    </row>
    <row r="115" spans="2:13" ht="15" customHeight="1" x14ac:dyDescent="0.3">
      <c r="B115" s="13"/>
      <c r="C115" s="13"/>
      <c r="D115" s="13"/>
      <c r="E115" s="13"/>
      <c r="F115" s="13"/>
      <c r="L115"/>
      <c r="M115"/>
    </row>
    <row r="116" spans="2:13" ht="15" customHeight="1" x14ac:dyDescent="0.3">
      <c r="B116" s="13"/>
      <c r="C116" s="13"/>
      <c r="D116" s="13"/>
      <c r="E116" s="13"/>
      <c r="F116" s="13"/>
      <c r="L116"/>
      <c r="M116"/>
    </row>
    <row r="117" spans="2:13" ht="15" customHeight="1" x14ac:dyDescent="0.3">
      <c r="B117" s="13"/>
      <c r="C117" s="13"/>
      <c r="D117" s="13"/>
      <c r="E117" s="13"/>
      <c r="F117" s="13"/>
      <c r="L117"/>
      <c r="M117"/>
    </row>
    <row r="118" spans="2:13" ht="15" customHeight="1" x14ac:dyDescent="0.3">
      <c r="B118" s="13"/>
      <c r="C118" s="13"/>
      <c r="D118" s="13"/>
      <c r="E118" s="13"/>
      <c r="F118" s="13"/>
      <c r="L118"/>
      <c r="M118"/>
    </row>
    <row r="119" spans="2:13" ht="15" customHeight="1" x14ac:dyDescent="0.3">
      <c r="B119" s="13"/>
      <c r="C119" s="13"/>
      <c r="D119" s="13"/>
      <c r="E119" s="13"/>
      <c r="F119" s="13"/>
      <c r="L119"/>
      <c r="M119"/>
    </row>
    <row r="120" spans="2:13" ht="15" customHeight="1" x14ac:dyDescent="0.3">
      <c r="B120" s="13"/>
      <c r="C120" s="13"/>
      <c r="D120" s="13"/>
      <c r="E120" s="13"/>
      <c r="F120" s="13"/>
      <c r="L120"/>
      <c r="M120"/>
    </row>
    <row r="121" spans="2:13" ht="15" customHeight="1" x14ac:dyDescent="0.3">
      <c r="B121" s="13"/>
      <c r="C121" s="13"/>
      <c r="D121" s="13"/>
      <c r="E121" s="13"/>
      <c r="F121" s="13"/>
      <c r="L121"/>
      <c r="M121"/>
    </row>
    <row r="122" spans="2:13" ht="15" customHeight="1" x14ac:dyDescent="0.3">
      <c r="B122" s="13"/>
      <c r="C122" s="13"/>
      <c r="D122" s="13"/>
      <c r="E122" s="13"/>
      <c r="F122" s="13"/>
      <c r="L122"/>
      <c r="M122"/>
    </row>
    <row r="123" spans="2:13" ht="15" customHeight="1" x14ac:dyDescent="0.3">
      <c r="B123" s="13"/>
      <c r="C123" s="13"/>
      <c r="D123" s="13"/>
      <c r="E123" s="13"/>
      <c r="F123" s="13"/>
      <c r="L123"/>
      <c r="M123"/>
    </row>
    <row r="124" spans="2:13" ht="15" customHeight="1" x14ac:dyDescent="0.3">
      <c r="B124" s="11"/>
      <c r="C124" s="11"/>
      <c r="D124" s="11"/>
      <c r="E124" s="11"/>
      <c r="F124" s="11"/>
      <c r="G124" s="11"/>
      <c r="L124"/>
      <c r="M124"/>
    </row>
    <row r="125" spans="2:13" ht="15" customHeight="1" x14ac:dyDescent="0.3">
      <c r="B125" s="11"/>
      <c r="C125" s="11"/>
      <c r="D125" s="11"/>
      <c r="E125" s="11"/>
      <c r="F125" s="11"/>
      <c r="G125" s="11"/>
      <c r="L125"/>
      <c r="M125"/>
    </row>
    <row r="126" spans="2:13" ht="15" customHeight="1" x14ac:dyDescent="0.3">
      <c r="B126" s="11"/>
      <c r="C126" s="11"/>
      <c r="D126" s="11"/>
      <c r="E126" s="11"/>
      <c r="F126" s="11"/>
      <c r="G126" s="11"/>
      <c r="L126"/>
      <c r="M126"/>
    </row>
    <row r="127" spans="2:13" ht="15" customHeight="1" x14ac:dyDescent="0.3">
      <c r="B127" s="11"/>
      <c r="C127" s="11"/>
      <c r="D127" s="11"/>
      <c r="E127" s="11"/>
      <c r="F127" s="11"/>
      <c r="G127" s="11"/>
      <c r="L127"/>
      <c r="M127"/>
    </row>
    <row r="128" spans="2:13" ht="15" customHeight="1" x14ac:dyDescent="0.3">
      <c r="B128" s="11"/>
      <c r="C128" s="11"/>
      <c r="D128" s="11"/>
      <c r="E128" s="11"/>
      <c r="F128" s="11"/>
      <c r="G128" s="11"/>
    </row>
    <row r="129" spans="2:7" ht="15" customHeight="1" x14ac:dyDescent="0.3">
      <c r="B129" s="11"/>
      <c r="C129" s="11"/>
      <c r="D129" s="11"/>
      <c r="E129" s="11"/>
      <c r="F129" s="11"/>
      <c r="G129" s="11"/>
    </row>
    <row r="130" spans="2:7" ht="15" customHeight="1" x14ac:dyDescent="0.3">
      <c r="B130" s="11"/>
      <c r="C130" s="11"/>
      <c r="D130" s="11"/>
      <c r="E130" s="11"/>
      <c r="F130" s="11"/>
      <c r="G130" s="11"/>
    </row>
    <row r="131" spans="2:7" ht="15" customHeight="1" x14ac:dyDescent="0.3">
      <c r="B131" s="11"/>
      <c r="C131" s="11"/>
      <c r="D131" s="11"/>
      <c r="E131" s="11"/>
      <c r="F131" s="11"/>
      <c r="G131" s="11"/>
    </row>
    <row r="132" spans="2:7" ht="15" customHeight="1" x14ac:dyDescent="0.3">
      <c r="B132" s="11"/>
      <c r="C132" s="11"/>
      <c r="D132" s="11"/>
      <c r="E132" s="11"/>
      <c r="F132" s="11"/>
      <c r="G132" s="11"/>
    </row>
    <row r="133" spans="2:7" ht="15" customHeight="1" x14ac:dyDescent="0.3">
      <c r="B133" s="11"/>
      <c r="C133" s="11"/>
      <c r="D133" s="11"/>
      <c r="E133" s="11"/>
      <c r="F133" s="11"/>
      <c r="G133" s="11"/>
    </row>
    <row r="134" spans="2:7" ht="15" customHeight="1" x14ac:dyDescent="0.3">
      <c r="B134" s="11"/>
      <c r="C134" s="11"/>
      <c r="D134" s="11"/>
      <c r="E134" s="11"/>
      <c r="F134" s="11"/>
      <c r="G134" s="11"/>
    </row>
    <row r="135" spans="2:7" ht="15" customHeight="1" x14ac:dyDescent="0.3">
      <c r="B135" s="11"/>
      <c r="C135" s="11"/>
      <c r="D135" s="11"/>
      <c r="E135" s="11"/>
      <c r="F135" s="11"/>
      <c r="G135" s="11"/>
    </row>
  </sheetData>
  <sortState xmlns:xlrd2="http://schemas.microsoft.com/office/spreadsheetml/2017/richdata2" ref="I91:R116">
    <sortCondition ref="L91:L116"/>
  </sortState>
  <pageMargins left="0.7" right="0.7" top="0.75" bottom="0.75" header="0.3" footer="0.3"/>
  <pageSetup scale="4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48947-F82E-48D5-BC43-AA266786C2E3}">
  <sheetPr>
    <tabColor theme="4"/>
  </sheetPr>
  <dimension ref="A1:R127"/>
  <sheetViews>
    <sheetView showGridLines="0" zoomScale="80" zoomScaleNormal="80" workbookViewId="0">
      <selection activeCell="G1" sqref="G1"/>
    </sheetView>
  </sheetViews>
  <sheetFormatPr defaultRowHeight="15" customHeight="1" x14ac:dyDescent="0.3"/>
  <cols>
    <col min="1" max="1" width="11.33203125" bestFit="1" customWidth="1"/>
    <col min="2" max="2" width="47.44140625" bestFit="1" customWidth="1"/>
    <col min="3" max="3" width="26.6640625" bestFit="1" customWidth="1"/>
    <col min="4" max="4" width="38.6640625" customWidth="1"/>
    <col min="5" max="5" width="38.109375" bestFit="1" customWidth="1"/>
    <col min="6" max="6" width="27.44140625" bestFit="1" customWidth="1"/>
    <col min="7" max="7" width="15.44140625" customWidth="1"/>
    <col min="9" max="9" width="10.6640625" bestFit="1" customWidth="1"/>
    <col min="10" max="10" width="38.21875" bestFit="1" customWidth="1"/>
    <col min="11" max="11" width="7.109375" bestFit="1" customWidth="1"/>
    <col min="12" max="12" width="13.44140625" bestFit="1" customWidth="1"/>
    <col min="13" max="13" width="10.21875" bestFit="1" customWidth="1"/>
    <col min="14" max="14" width="4.88671875" bestFit="1" customWidth="1"/>
    <col min="15" max="15" width="11" bestFit="1" customWidth="1"/>
    <col min="16" max="16" width="14.109375" bestFit="1" customWidth="1"/>
    <col min="17" max="17" width="5.44140625" bestFit="1" customWidth="1"/>
    <col min="18" max="18" width="16.5546875" bestFit="1" customWidth="1"/>
  </cols>
  <sheetData>
    <row r="1" spans="9:18" ht="15" customHeight="1" x14ac:dyDescent="0.3">
      <c r="I1" s="1" t="s">
        <v>0</v>
      </c>
      <c r="J1" s="1" t="s">
        <v>1</v>
      </c>
      <c r="K1" s="1" t="s">
        <v>2</v>
      </c>
      <c r="L1" s="1" t="s">
        <v>3</v>
      </c>
      <c r="M1" s="1" t="s">
        <v>4</v>
      </c>
      <c r="N1" s="1" t="s">
        <v>5</v>
      </c>
      <c r="O1" s="1" t="s">
        <v>6</v>
      </c>
      <c r="P1" s="1" t="s">
        <v>7</v>
      </c>
      <c r="Q1" s="1" t="s">
        <v>8</v>
      </c>
      <c r="R1" s="1" t="s">
        <v>9</v>
      </c>
    </row>
    <row r="2" spans="9:18" ht="15" customHeight="1" x14ac:dyDescent="0.3">
      <c r="I2" s="18" t="s">
        <v>35</v>
      </c>
      <c r="J2" s="18" t="s">
        <v>36</v>
      </c>
      <c r="K2" s="18" t="s">
        <v>37</v>
      </c>
      <c r="L2" s="19">
        <v>46375</v>
      </c>
      <c r="M2" s="19">
        <v>36969</v>
      </c>
      <c r="N2" s="18" t="s">
        <v>32</v>
      </c>
      <c r="O2" s="18" t="s">
        <v>33</v>
      </c>
      <c r="P2" s="18">
        <v>21</v>
      </c>
      <c r="Q2" s="18">
        <v>2026</v>
      </c>
      <c r="R2" s="18" t="s">
        <v>12</v>
      </c>
    </row>
    <row r="54" spans="1:6" ht="15" customHeight="1" x14ac:dyDescent="0.3">
      <c r="A54" s="6" t="s">
        <v>39</v>
      </c>
      <c r="B54" s="9" t="s">
        <v>43</v>
      </c>
      <c r="C54" s="9" t="s">
        <v>45</v>
      </c>
      <c r="D54" s="9" t="s">
        <v>15</v>
      </c>
      <c r="E54" s="9" t="s">
        <v>16</v>
      </c>
      <c r="F54" s="9" t="s">
        <v>44</v>
      </c>
    </row>
    <row r="55" spans="1:6" ht="15" customHeight="1" x14ac:dyDescent="0.3">
      <c r="A55" s="7">
        <v>46285</v>
      </c>
      <c r="B55" s="10">
        <f t="shared" ref="B55:B72" si="0">SUM(C55:F55)</f>
        <v>44025.609000000004</v>
      </c>
      <c r="C55" s="10">
        <v>44025.609000000004</v>
      </c>
      <c r="D55" s="10">
        <v>0</v>
      </c>
      <c r="E55" s="10">
        <v>0</v>
      </c>
      <c r="F55" s="10">
        <v>0</v>
      </c>
    </row>
    <row r="56" spans="1:6" ht="15" customHeight="1" x14ac:dyDescent="0.3">
      <c r="A56" s="7">
        <v>46315</v>
      </c>
      <c r="B56" s="10">
        <f t="shared" si="0"/>
        <v>44025.609000000004</v>
      </c>
      <c r="C56" s="10">
        <v>44025.609000000004</v>
      </c>
      <c r="D56" s="10">
        <v>0</v>
      </c>
      <c r="E56" s="10">
        <v>0</v>
      </c>
      <c r="F56" s="10">
        <v>0</v>
      </c>
    </row>
    <row r="57" spans="1:6" ht="15" customHeight="1" x14ac:dyDescent="0.3">
      <c r="A57" s="7">
        <v>46346</v>
      </c>
      <c r="B57" s="10">
        <f t="shared" si="0"/>
        <v>44025.609000000004</v>
      </c>
      <c r="C57" s="10">
        <v>44025.609000000004</v>
      </c>
      <c r="D57" s="10">
        <v>0</v>
      </c>
      <c r="E57" s="10">
        <v>0</v>
      </c>
      <c r="F57" s="10">
        <v>0</v>
      </c>
    </row>
    <row r="58" spans="1:6" ht="15" customHeight="1" x14ac:dyDescent="0.3">
      <c r="A58" s="7">
        <v>46376</v>
      </c>
      <c r="B58" s="10">
        <f t="shared" si="0"/>
        <v>44046.609000000004</v>
      </c>
      <c r="C58" s="10">
        <v>44025.609000000004</v>
      </c>
      <c r="D58" s="10">
        <v>21</v>
      </c>
      <c r="E58" s="10">
        <v>0</v>
      </c>
      <c r="F58" s="10">
        <v>0</v>
      </c>
    </row>
    <row r="59" spans="1:6" ht="15" customHeight="1" x14ac:dyDescent="0.3">
      <c r="A59" s="7">
        <v>46407</v>
      </c>
      <c r="B59" s="10">
        <f t="shared" si="0"/>
        <v>44046.609000000004</v>
      </c>
      <c r="C59" s="10">
        <v>44025.609000000004</v>
      </c>
      <c r="D59" s="10">
        <v>21</v>
      </c>
      <c r="E59" s="10">
        <v>0</v>
      </c>
      <c r="F59" s="10">
        <v>0</v>
      </c>
    </row>
    <row r="60" spans="1:6" ht="15" customHeight="1" x14ac:dyDescent="0.3">
      <c r="A60" s="7">
        <v>46438</v>
      </c>
      <c r="B60" s="10">
        <f t="shared" si="0"/>
        <v>44046.609000000004</v>
      </c>
      <c r="C60" s="10">
        <v>44025.609000000004</v>
      </c>
      <c r="D60" s="10">
        <v>21</v>
      </c>
      <c r="E60" s="10">
        <v>0</v>
      </c>
      <c r="F60" s="10">
        <v>0</v>
      </c>
    </row>
    <row r="61" spans="1:6" ht="15" customHeight="1" x14ac:dyDescent="0.3">
      <c r="A61" s="7">
        <v>46466</v>
      </c>
      <c r="B61" s="10">
        <f t="shared" si="0"/>
        <v>44046.609000000004</v>
      </c>
      <c r="C61" s="10">
        <v>44025.609000000004</v>
      </c>
      <c r="D61" s="10">
        <v>21</v>
      </c>
      <c r="E61" s="10">
        <v>0</v>
      </c>
      <c r="F61" s="10">
        <v>0</v>
      </c>
    </row>
    <row r="62" spans="1:6" ht="15" customHeight="1" x14ac:dyDescent="0.3">
      <c r="A62" s="7">
        <v>46497</v>
      </c>
      <c r="B62" s="10">
        <f t="shared" si="0"/>
        <v>44046.609000000004</v>
      </c>
      <c r="C62" s="10">
        <v>44025.609000000004</v>
      </c>
      <c r="D62" s="10">
        <v>21</v>
      </c>
      <c r="E62" s="10">
        <v>0</v>
      </c>
      <c r="F62" s="10">
        <v>0</v>
      </c>
    </row>
    <row r="63" spans="1:6" ht="15" customHeight="1" x14ac:dyDescent="0.3">
      <c r="A63" s="7">
        <v>46527</v>
      </c>
      <c r="B63" s="10">
        <f t="shared" si="0"/>
        <v>44046.609000000004</v>
      </c>
      <c r="C63" s="10">
        <v>44025.609000000004</v>
      </c>
      <c r="D63" s="10">
        <v>21</v>
      </c>
      <c r="E63" s="10">
        <v>0</v>
      </c>
      <c r="F63" s="10">
        <v>0</v>
      </c>
    </row>
    <row r="64" spans="1:6" ht="15" customHeight="1" x14ac:dyDescent="0.3">
      <c r="A64" s="7">
        <v>46558</v>
      </c>
      <c r="B64" s="10">
        <f t="shared" si="0"/>
        <v>44046.609000000004</v>
      </c>
      <c r="C64" s="10">
        <v>44025.609000000004</v>
      </c>
      <c r="D64" s="10">
        <v>21</v>
      </c>
      <c r="E64" s="10">
        <v>0</v>
      </c>
      <c r="F64" s="10">
        <v>0</v>
      </c>
    </row>
    <row r="65" spans="1:6" ht="15" customHeight="1" x14ac:dyDescent="0.3">
      <c r="A65" s="7">
        <v>46588</v>
      </c>
      <c r="B65" s="10">
        <f t="shared" si="0"/>
        <v>44046.609000000004</v>
      </c>
      <c r="C65" s="10">
        <v>44025.609000000004</v>
      </c>
      <c r="D65" s="10">
        <v>21</v>
      </c>
      <c r="E65" s="10">
        <v>0</v>
      </c>
      <c r="F65" s="10">
        <v>0</v>
      </c>
    </row>
    <row r="66" spans="1:6" ht="15" customHeight="1" x14ac:dyDescent="0.3">
      <c r="A66" s="7">
        <v>46619</v>
      </c>
      <c r="B66" s="10">
        <f t="shared" si="0"/>
        <v>44046.609000000004</v>
      </c>
      <c r="C66" s="10">
        <v>44025.609000000004</v>
      </c>
      <c r="D66" s="10">
        <v>21</v>
      </c>
      <c r="E66" s="10">
        <v>0</v>
      </c>
      <c r="F66" s="10">
        <v>0</v>
      </c>
    </row>
    <row r="67" spans="1:6" ht="15" customHeight="1" x14ac:dyDescent="0.3">
      <c r="A67" s="7">
        <v>46650</v>
      </c>
      <c r="B67" s="10">
        <f t="shared" si="0"/>
        <v>44046.609000000004</v>
      </c>
      <c r="C67" s="10">
        <v>44025.609000000004</v>
      </c>
      <c r="D67" s="10">
        <v>21</v>
      </c>
      <c r="E67" s="10">
        <v>0</v>
      </c>
      <c r="F67" s="10">
        <v>0</v>
      </c>
    </row>
    <row r="68" spans="1:6" ht="15" customHeight="1" x14ac:dyDescent="0.3">
      <c r="A68" s="7">
        <v>46680</v>
      </c>
      <c r="B68" s="10">
        <f t="shared" si="0"/>
        <v>44046.609000000004</v>
      </c>
      <c r="C68" s="10">
        <v>44025.609000000004</v>
      </c>
      <c r="D68" s="10">
        <v>21</v>
      </c>
      <c r="E68" s="10">
        <v>0</v>
      </c>
      <c r="F68" s="10">
        <v>0</v>
      </c>
    </row>
    <row r="69" spans="1:6" ht="15" customHeight="1" x14ac:dyDescent="0.3">
      <c r="A69" s="7">
        <v>46711</v>
      </c>
      <c r="B69" s="10">
        <f t="shared" si="0"/>
        <v>44046.609000000004</v>
      </c>
      <c r="C69" s="10">
        <v>44025.609000000004</v>
      </c>
      <c r="D69" s="10">
        <v>21</v>
      </c>
      <c r="E69" s="10">
        <v>0</v>
      </c>
      <c r="F69" s="10">
        <v>0</v>
      </c>
    </row>
    <row r="70" spans="1:6" ht="15" customHeight="1" x14ac:dyDescent="0.3">
      <c r="A70" s="7">
        <v>46741</v>
      </c>
      <c r="B70" s="10">
        <f t="shared" si="0"/>
        <v>44046.609000000004</v>
      </c>
      <c r="C70" s="10">
        <v>44025.609000000004</v>
      </c>
      <c r="D70" s="10">
        <v>21</v>
      </c>
      <c r="E70" s="10">
        <v>0</v>
      </c>
      <c r="F70" s="10">
        <v>0</v>
      </c>
    </row>
    <row r="71" spans="1:6" ht="15" customHeight="1" x14ac:dyDescent="0.3">
      <c r="A71" s="7">
        <v>46772</v>
      </c>
      <c r="B71" s="10">
        <f t="shared" si="0"/>
        <v>44046.609000000004</v>
      </c>
      <c r="C71" s="10">
        <v>44025.609000000004</v>
      </c>
      <c r="D71" s="10">
        <v>21</v>
      </c>
      <c r="E71" s="10">
        <v>0</v>
      </c>
      <c r="F71" s="10">
        <v>0</v>
      </c>
    </row>
    <row r="72" spans="1:6" ht="15" customHeight="1" x14ac:dyDescent="0.3">
      <c r="A72" s="7">
        <v>46803</v>
      </c>
      <c r="B72" s="10">
        <f t="shared" si="0"/>
        <v>44046.609000000004</v>
      </c>
      <c r="C72" s="10">
        <v>44025.609000000004</v>
      </c>
      <c r="D72" s="10">
        <v>21</v>
      </c>
      <c r="E72" s="10">
        <v>0</v>
      </c>
      <c r="F72" s="10">
        <v>0</v>
      </c>
    </row>
    <row r="73" spans="1:6" ht="15" customHeight="1" x14ac:dyDescent="0.3">
      <c r="B73" s="10"/>
      <c r="C73" s="10"/>
      <c r="D73" s="10"/>
      <c r="E73" s="10"/>
      <c r="F73" s="10"/>
    </row>
    <row r="74" spans="1:6" ht="15" customHeight="1" x14ac:dyDescent="0.3">
      <c r="B74" s="10"/>
      <c r="C74" s="10"/>
      <c r="D74" s="10"/>
      <c r="E74" s="10"/>
      <c r="F74" s="10"/>
    </row>
    <row r="75" spans="1:6" ht="15" customHeight="1" x14ac:dyDescent="0.3">
      <c r="B75" s="10"/>
      <c r="C75" s="10"/>
      <c r="D75" s="10"/>
      <c r="E75" s="10"/>
      <c r="F75" s="10"/>
    </row>
    <row r="76" spans="1:6" ht="15" customHeight="1" x14ac:dyDescent="0.3">
      <c r="B76" s="10"/>
      <c r="C76" s="10"/>
      <c r="D76" s="10"/>
      <c r="E76" s="10"/>
      <c r="F76" s="10"/>
    </row>
    <row r="85" spans="1:6" ht="15" customHeight="1" x14ac:dyDescent="0.3">
      <c r="B85" s="11"/>
      <c r="C85" s="11"/>
      <c r="D85" s="11"/>
      <c r="E85" s="11"/>
      <c r="F85" s="11"/>
    </row>
    <row r="86" spans="1:6" ht="15" customHeight="1" x14ac:dyDescent="0.3">
      <c r="A86" s="7"/>
      <c r="B86" s="10"/>
      <c r="C86" s="10"/>
      <c r="D86" s="10"/>
      <c r="E86" s="10"/>
      <c r="F86" s="10"/>
    </row>
    <row r="87" spans="1:6" ht="15" customHeight="1" x14ac:dyDescent="0.3">
      <c r="A87" s="7"/>
      <c r="B87" s="10"/>
      <c r="C87" s="10"/>
      <c r="D87" s="10"/>
      <c r="E87" s="10"/>
      <c r="F87" s="10"/>
    </row>
    <row r="88" spans="1:6" ht="15" customHeight="1" x14ac:dyDescent="0.3">
      <c r="A88" s="7"/>
      <c r="B88" s="10"/>
      <c r="C88" s="10"/>
      <c r="D88" s="10"/>
      <c r="E88" s="10"/>
      <c r="F88" s="10"/>
    </row>
    <row r="89" spans="1:6" ht="15" customHeight="1" x14ac:dyDescent="0.3">
      <c r="A89" s="7"/>
      <c r="B89" s="10"/>
      <c r="C89" s="10"/>
      <c r="D89" s="10"/>
      <c r="E89" s="10"/>
      <c r="F89" s="10"/>
    </row>
    <row r="90" spans="1:6" ht="15" customHeight="1" x14ac:dyDescent="0.3">
      <c r="A90" s="7"/>
      <c r="B90" s="10"/>
      <c r="C90" s="10"/>
      <c r="D90" s="10"/>
      <c r="E90" s="10"/>
      <c r="F90" s="10"/>
    </row>
    <row r="91" spans="1:6" ht="15" customHeight="1" x14ac:dyDescent="0.3">
      <c r="A91" s="7"/>
      <c r="B91" s="10"/>
      <c r="C91" s="10"/>
      <c r="D91" s="10"/>
      <c r="E91" s="10"/>
      <c r="F91" s="10"/>
    </row>
    <row r="92" spans="1:6" ht="15" customHeight="1" x14ac:dyDescent="0.3">
      <c r="A92" s="7"/>
      <c r="B92" s="10"/>
      <c r="C92" s="10"/>
      <c r="D92" s="10"/>
      <c r="E92" s="10"/>
      <c r="F92" s="10"/>
    </row>
    <row r="93" spans="1:6" ht="15" customHeight="1" x14ac:dyDescent="0.3">
      <c r="A93" s="7"/>
      <c r="B93" s="10"/>
      <c r="C93" s="10"/>
      <c r="D93" s="10"/>
      <c r="E93" s="10"/>
      <c r="F93" s="10"/>
    </row>
    <row r="94" spans="1:6" ht="15" customHeight="1" x14ac:dyDescent="0.3">
      <c r="A94" s="7"/>
      <c r="B94" s="10"/>
      <c r="C94" s="10"/>
      <c r="D94" s="10"/>
      <c r="E94" s="10"/>
      <c r="F94" s="10"/>
    </row>
    <row r="95" spans="1:6" ht="15" customHeight="1" x14ac:dyDescent="0.3">
      <c r="A95" s="7"/>
      <c r="B95" s="10"/>
      <c r="C95" s="10"/>
      <c r="D95" s="10"/>
      <c r="E95" s="10"/>
      <c r="F95" s="10"/>
    </row>
    <row r="96" spans="1:6" ht="15" customHeight="1" x14ac:dyDescent="0.3">
      <c r="A96" s="7"/>
      <c r="B96" s="10"/>
      <c r="C96" s="10"/>
      <c r="D96" s="10"/>
      <c r="E96" s="10"/>
      <c r="F96" s="10"/>
    </row>
    <row r="97" spans="1:6" ht="15" customHeight="1" x14ac:dyDescent="0.3">
      <c r="A97" s="7"/>
      <c r="B97" s="10"/>
      <c r="C97" s="10"/>
      <c r="D97" s="10"/>
      <c r="E97" s="10"/>
      <c r="F97" s="10"/>
    </row>
    <row r="98" spans="1:6" ht="15" customHeight="1" x14ac:dyDescent="0.3">
      <c r="A98" s="7"/>
      <c r="B98" s="10"/>
      <c r="C98" s="10"/>
      <c r="D98" s="10"/>
      <c r="E98" s="10"/>
      <c r="F98" s="10"/>
    </row>
    <row r="99" spans="1:6" ht="15" customHeight="1" x14ac:dyDescent="0.3">
      <c r="A99" s="7"/>
      <c r="B99" s="10"/>
      <c r="C99" s="10"/>
      <c r="D99" s="10"/>
      <c r="E99" s="10"/>
      <c r="F99" s="10"/>
    </row>
    <row r="100" spans="1:6" ht="15" customHeight="1" x14ac:dyDescent="0.3">
      <c r="A100" s="7"/>
      <c r="B100" s="10"/>
      <c r="C100" s="10"/>
      <c r="D100" s="10"/>
      <c r="E100" s="10"/>
      <c r="F100" s="10"/>
    </row>
    <row r="101" spans="1:6" ht="15" customHeight="1" x14ac:dyDescent="0.3">
      <c r="A101" s="7"/>
      <c r="B101" s="10"/>
      <c r="C101" s="10"/>
      <c r="D101" s="10"/>
      <c r="E101" s="10"/>
      <c r="F101" s="10"/>
    </row>
    <row r="102" spans="1:6" ht="15" customHeight="1" x14ac:dyDescent="0.3">
      <c r="A102" s="7"/>
      <c r="B102" s="10"/>
      <c r="C102" s="10"/>
      <c r="D102" s="10"/>
      <c r="E102" s="10"/>
      <c r="F102" s="10"/>
    </row>
    <row r="103" spans="1:6" ht="15" customHeight="1" x14ac:dyDescent="0.3">
      <c r="A103" s="7"/>
      <c r="B103" s="10"/>
      <c r="C103" s="10"/>
      <c r="D103" s="10"/>
      <c r="E103" s="10"/>
      <c r="F103" s="10"/>
    </row>
    <row r="104" spans="1:6" ht="15" customHeight="1" x14ac:dyDescent="0.3">
      <c r="B104" s="11"/>
      <c r="C104" s="11"/>
      <c r="D104" s="11"/>
      <c r="E104" s="11"/>
      <c r="F104" s="11"/>
    </row>
    <row r="105" spans="1:6" ht="15" customHeight="1" x14ac:dyDescent="0.3">
      <c r="B105" s="13"/>
      <c r="C105" s="13"/>
      <c r="D105" s="13"/>
      <c r="E105" s="13"/>
      <c r="F105" s="13"/>
    </row>
    <row r="106" spans="1:6" ht="15" customHeight="1" x14ac:dyDescent="0.3">
      <c r="B106" s="13"/>
      <c r="C106" s="13"/>
      <c r="D106" s="13"/>
      <c r="E106" s="13"/>
      <c r="F106" s="13"/>
    </row>
    <row r="107" spans="1:6" ht="15" customHeight="1" x14ac:dyDescent="0.3">
      <c r="B107" s="13"/>
      <c r="C107" s="13"/>
      <c r="D107" s="13"/>
      <c r="E107" s="13"/>
      <c r="F107" s="13"/>
    </row>
    <row r="108" spans="1:6" ht="15" customHeight="1" x14ac:dyDescent="0.3">
      <c r="B108" s="13"/>
      <c r="C108" s="13"/>
      <c r="D108" s="13"/>
      <c r="E108" s="13"/>
      <c r="F108" s="13"/>
    </row>
    <row r="109" spans="1:6" ht="15" customHeight="1" x14ac:dyDescent="0.3">
      <c r="B109" s="13"/>
      <c r="C109" s="13"/>
      <c r="D109" s="13"/>
      <c r="E109" s="13"/>
      <c r="F109" s="13"/>
    </row>
    <row r="110" spans="1:6" ht="15" customHeight="1" x14ac:dyDescent="0.3">
      <c r="B110" s="13"/>
      <c r="C110" s="13"/>
      <c r="D110" s="13"/>
      <c r="E110" s="13"/>
      <c r="F110" s="13"/>
    </row>
    <row r="111" spans="1:6" ht="15" customHeight="1" x14ac:dyDescent="0.3">
      <c r="B111" s="13"/>
      <c r="C111" s="13"/>
      <c r="D111" s="13"/>
      <c r="E111" s="13"/>
      <c r="F111" s="13"/>
    </row>
    <row r="112" spans="1:6" ht="15" customHeight="1" x14ac:dyDescent="0.3">
      <c r="B112" s="13"/>
      <c r="C112" s="13"/>
      <c r="D112" s="13"/>
      <c r="E112" s="13"/>
      <c r="F112" s="13"/>
    </row>
    <row r="113" spans="2:7" ht="15" customHeight="1" x14ac:dyDescent="0.3">
      <c r="B113" s="13"/>
      <c r="C113" s="13"/>
      <c r="D113" s="13"/>
      <c r="E113" s="13"/>
      <c r="F113" s="13"/>
    </row>
    <row r="114" spans="2:7" ht="15" customHeight="1" x14ac:dyDescent="0.3">
      <c r="B114" s="13"/>
      <c r="C114" s="13"/>
      <c r="D114" s="13"/>
      <c r="E114" s="13"/>
      <c r="F114" s="13"/>
    </row>
    <row r="115" spans="2:7" ht="15" customHeight="1" x14ac:dyDescent="0.3">
      <c r="B115" s="13"/>
      <c r="C115" s="13"/>
      <c r="D115" s="13"/>
      <c r="E115" s="13"/>
      <c r="F115" s="13"/>
    </row>
    <row r="116" spans="2:7" ht="15" customHeight="1" x14ac:dyDescent="0.3">
      <c r="B116" s="13"/>
      <c r="C116" s="13"/>
      <c r="D116" s="13"/>
      <c r="E116" s="13"/>
      <c r="F116" s="13"/>
    </row>
    <row r="117" spans="2:7" ht="15" customHeight="1" x14ac:dyDescent="0.3">
      <c r="B117" s="13"/>
      <c r="C117" s="13"/>
      <c r="D117" s="13"/>
      <c r="E117" s="13"/>
      <c r="F117" s="13"/>
    </row>
    <row r="118" spans="2:7" ht="15" customHeight="1" x14ac:dyDescent="0.3">
      <c r="B118" s="13"/>
      <c r="C118" s="13"/>
      <c r="D118" s="13"/>
      <c r="E118" s="13"/>
      <c r="F118" s="13"/>
    </row>
    <row r="119" spans="2:7" ht="15" customHeight="1" x14ac:dyDescent="0.3">
      <c r="B119" s="13"/>
      <c r="C119" s="13"/>
      <c r="D119" s="13"/>
      <c r="E119" s="13"/>
      <c r="F119" s="13"/>
    </row>
    <row r="120" spans="2:7" ht="15" customHeight="1" x14ac:dyDescent="0.3">
      <c r="B120" s="13"/>
      <c r="C120" s="13"/>
      <c r="D120" s="13"/>
      <c r="E120" s="13"/>
      <c r="F120" s="13"/>
    </row>
    <row r="121" spans="2:7" ht="15" customHeight="1" x14ac:dyDescent="0.3">
      <c r="B121" s="13"/>
      <c r="C121" s="13"/>
      <c r="D121" s="13"/>
      <c r="E121" s="13"/>
      <c r="F121" s="13"/>
    </row>
    <row r="122" spans="2:7" ht="15" customHeight="1" x14ac:dyDescent="0.3">
      <c r="B122" s="13"/>
      <c r="C122" s="13"/>
      <c r="D122" s="13"/>
      <c r="E122" s="13"/>
      <c r="F122" s="13"/>
    </row>
    <row r="123" spans="2:7" ht="15" customHeight="1" x14ac:dyDescent="0.3">
      <c r="B123" s="13"/>
      <c r="C123" s="11"/>
      <c r="D123" s="11"/>
      <c r="E123" s="11"/>
      <c r="F123" s="11"/>
      <c r="G123" s="11"/>
    </row>
    <row r="124" spans="2:7" ht="15" customHeight="1" x14ac:dyDescent="0.3">
      <c r="B124" s="13"/>
      <c r="C124" s="11"/>
      <c r="D124" s="11"/>
      <c r="E124" s="11"/>
      <c r="F124" s="11"/>
      <c r="G124" s="11"/>
    </row>
    <row r="125" spans="2:7" ht="15" customHeight="1" x14ac:dyDescent="0.3">
      <c r="B125" s="13"/>
      <c r="C125" s="11"/>
      <c r="D125" s="11"/>
      <c r="E125" s="11"/>
      <c r="F125" s="11"/>
      <c r="G125" s="11"/>
    </row>
    <row r="126" spans="2:7" ht="15" customHeight="1" x14ac:dyDescent="0.3">
      <c r="B126" s="14"/>
    </row>
    <row r="127" spans="2:7" ht="15" customHeight="1" x14ac:dyDescent="0.3">
      <c r="B127" s="14"/>
    </row>
  </sheetData>
  <pageMargins left="0.7" right="0.7" top="0.75" bottom="0.75" header="0.3" footer="0.3"/>
  <pageSetup scale="4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7054-DF44-4893-B917-55B94F226E0D}">
  <sheetPr>
    <tabColor theme="4"/>
  </sheetPr>
  <dimension ref="A1:R122"/>
  <sheetViews>
    <sheetView showGridLines="0" zoomScale="80" zoomScaleNormal="80" workbookViewId="0">
      <selection activeCell="G1" sqref="G1"/>
    </sheetView>
  </sheetViews>
  <sheetFormatPr defaultRowHeight="15" customHeight="1" x14ac:dyDescent="0.3"/>
  <cols>
    <col min="1" max="1" width="11.33203125" bestFit="1" customWidth="1"/>
    <col min="2" max="2" width="47.44140625" bestFit="1" customWidth="1"/>
    <col min="3" max="3" width="26.6640625" bestFit="1" customWidth="1"/>
    <col min="4" max="4" width="38.6640625" customWidth="1"/>
    <col min="5" max="5" width="38.109375" bestFit="1" customWidth="1"/>
    <col min="6" max="6" width="27.44140625" bestFit="1" customWidth="1"/>
    <col min="7" max="7" width="15.44140625" customWidth="1"/>
    <col min="8" max="8" width="11.44140625" customWidth="1"/>
    <col min="9" max="9" width="10.6640625" bestFit="1" customWidth="1"/>
    <col min="10" max="10" width="52.6640625" bestFit="1" customWidth="1"/>
    <col min="11" max="11" width="10.6640625" bestFit="1" customWidth="1"/>
    <col min="12" max="12" width="13.44140625" bestFit="1" customWidth="1"/>
    <col min="13" max="13" width="11.21875" bestFit="1" customWidth="1"/>
    <col min="14" max="14" width="4.88671875" bestFit="1" customWidth="1"/>
    <col min="15" max="15" width="11" bestFit="1" customWidth="1"/>
    <col min="16" max="16" width="14.109375" bestFit="1" customWidth="1"/>
    <col min="17" max="17" width="5.44140625" bestFit="1" customWidth="1"/>
    <col min="18" max="18" width="16.5546875" bestFit="1" customWidth="1"/>
  </cols>
  <sheetData>
    <row r="1" spans="9:18" ht="15" customHeight="1" x14ac:dyDescent="0.3">
      <c r="I1" s="1" t="s">
        <v>0</v>
      </c>
      <c r="J1" s="1" t="s">
        <v>1</v>
      </c>
      <c r="K1" s="1" t="s">
        <v>2</v>
      </c>
      <c r="L1" s="1" t="s">
        <v>3</v>
      </c>
      <c r="M1" s="1" t="s">
        <v>4</v>
      </c>
      <c r="N1" s="1" t="s">
        <v>5</v>
      </c>
      <c r="O1" s="1" t="s">
        <v>6</v>
      </c>
      <c r="P1" s="1" t="s">
        <v>7</v>
      </c>
      <c r="Q1" s="1" t="s">
        <v>8</v>
      </c>
      <c r="R1" s="1" t="s">
        <v>9</v>
      </c>
    </row>
    <row r="2" spans="9:18" ht="15" customHeight="1" x14ac:dyDescent="0.3">
      <c r="I2" s="2" t="s">
        <v>530</v>
      </c>
      <c r="J2" s="2" t="s">
        <v>531</v>
      </c>
      <c r="K2" s="2" t="s">
        <v>232</v>
      </c>
      <c r="L2" s="3">
        <v>46433</v>
      </c>
      <c r="M2" s="3">
        <v>46233</v>
      </c>
      <c r="N2" s="2" t="s">
        <v>32</v>
      </c>
      <c r="O2" s="2" t="s">
        <v>38</v>
      </c>
      <c r="P2" s="2">
        <v>43.36</v>
      </c>
      <c r="Q2" s="2">
        <v>2027</v>
      </c>
      <c r="R2" s="2" t="s">
        <v>12</v>
      </c>
    </row>
    <row r="3" spans="9:18" ht="15" customHeight="1" x14ac:dyDescent="0.3">
      <c r="I3" s="4" t="s">
        <v>242</v>
      </c>
      <c r="J3" s="4" t="s">
        <v>243</v>
      </c>
      <c r="K3" s="4" t="s">
        <v>244</v>
      </c>
      <c r="L3" s="5">
        <v>46446</v>
      </c>
      <c r="M3" s="5">
        <v>46021</v>
      </c>
      <c r="N3" s="4" t="s">
        <v>32</v>
      </c>
      <c r="O3" s="4" t="s">
        <v>38</v>
      </c>
      <c r="P3" s="4">
        <v>210</v>
      </c>
      <c r="Q3" s="4">
        <v>2027</v>
      </c>
      <c r="R3" s="4" t="s">
        <v>12</v>
      </c>
    </row>
    <row r="4" spans="9:18" ht="15" customHeight="1" x14ac:dyDescent="0.3">
      <c r="I4" s="2" t="s">
        <v>532</v>
      </c>
      <c r="J4" s="2" t="s">
        <v>533</v>
      </c>
      <c r="K4" s="2" t="s">
        <v>431</v>
      </c>
      <c r="L4" s="3">
        <v>46728</v>
      </c>
      <c r="M4" s="3">
        <v>46010</v>
      </c>
      <c r="N4" s="2" t="s">
        <v>32</v>
      </c>
      <c r="O4" s="2" t="s">
        <v>38</v>
      </c>
      <c r="P4" s="2">
        <v>1104</v>
      </c>
      <c r="Q4" s="2">
        <v>2027</v>
      </c>
      <c r="R4" s="2" t="s">
        <v>11</v>
      </c>
    </row>
    <row r="5" spans="9:18" ht="15" customHeight="1" x14ac:dyDescent="0.3">
      <c r="I5" s="4" t="s">
        <v>534</v>
      </c>
      <c r="J5" s="4" t="s">
        <v>535</v>
      </c>
      <c r="K5" s="4" t="s">
        <v>527</v>
      </c>
      <c r="L5" s="5">
        <v>46753</v>
      </c>
      <c r="M5" s="5">
        <v>46003</v>
      </c>
      <c r="N5" s="4" t="s">
        <v>32</v>
      </c>
      <c r="O5" s="4" t="s">
        <v>38</v>
      </c>
      <c r="P5" s="4">
        <v>900</v>
      </c>
      <c r="Q5" s="4">
        <v>2028</v>
      </c>
      <c r="R5" s="4" t="s">
        <v>11</v>
      </c>
    </row>
    <row r="6" spans="9:18" ht="15" customHeight="1" x14ac:dyDescent="0.3">
      <c r="I6" s="2" t="s">
        <v>536</v>
      </c>
      <c r="J6" s="2" t="s">
        <v>537</v>
      </c>
      <c r="K6" s="2" t="s">
        <v>17</v>
      </c>
      <c r="L6" s="3">
        <v>46753</v>
      </c>
      <c r="M6" s="3">
        <v>46238</v>
      </c>
      <c r="N6" s="2" t="s">
        <v>32</v>
      </c>
      <c r="O6" s="2" t="s">
        <v>38</v>
      </c>
      <c r="P6" s="2">
        <v>1036</v>
      </c>
      <c r="Q6" s="2">
        <v>2028</v>
      </c>
      <c r="R6" s="2" t="s">
        <v>11</v>
      </c>
    </row>
    <row r="7" spans="9:18" ht="15" customHeight="1" x14ac:dyDescent="0.3">
      <c r="I7" s="20" t="s">
        <v>559</v>
      </c>
      <c r="J7" s="20" t="s">
        <v>560</v>
      </c>
      <c r="K7" s="20" t="s">
        <v>561</v>
      </c>
      <c r="L7" s="21">
        <v>46809</v>
      </c>
      <c r="M7" s="21">
        <v>46013</v>
      </c>
      <c r="N7" s="20" t="s">
        <v>32</v>
      </c>
      <c r="O7" s="20" t="s">
        <v>38</v>
      </c>
      <c r="P7" s="20">
        <v>570</v>
      </c>
      <c r="Q7" s="20">
        <v>2028</v>
      </c>
      <c r="R7" s="20" t="s">
        <v>12</v>
      </c>
    </row>
    <row r="53" spans="1:7" ht="15" customHeight="1" x14ac:dyDescent="0.3">
      <c r="A53" s="6" t="s">
        <v>39</v>
      </c>
      <c r="B53" s="9" t="s">
        <v>43</v>
      </c>
      <c r="C53" s="9" t="s">
        <v>45</v>
      </c>
      <c r="D53" s="9" t="s">
        <v>15</v>
      </c>
      <c r="E53" s="9" t="s">
        <v>16</v>
      </c>
      <c r="F53" s="9" t="s">
        <v>40</v>
      </c>
      <c r="G53" s="9" t="s">
        <v>44</v>
      </c>
    </row>
    <row r="54" spans="1:7" ht="15" customHeight="1" x14ac:dyDescent="0.3">
      <c r="A54" s="7">
        <v>46285</v>
      </c>
      <c r="B54" s="10">
        <f>SUM(C54:G54)</f>
        <v>25383.550000000079</v>
      </c>
      <c r="C54" s="10">
        <v>25333.960000000079</v>
      </c>
      <c r="D54" s="10">
        <v>0</v>
      </c>
      <c r="E54" s="10">
        <v>0</v>
      </c>
      <c r="F54" s="10">
        <v>49.59</v>
      </c>
      <c r="G54" s="10">
        <v>0</v>
      </c>
    </row>
    <row r="55" spans="1:7" ht="15" customHeight="1" x14ac:dyDescent="0.3">
      <c r="A55" s="7">
        <v>46315</v>
      </c>
      <c r="B55" s="10">
        <f t="shared" ref="B55:B71" si="0">SUM(C55:G55)</f>
        <v>25383.550000000079</v>
      </c>
      <c r="C55" s="10">
        <v>25333.960000000079</v>
      </c>
      <c r="D55" s="10">
        <v>0</v>
      </c>
      <c r="E55" s="10">
        <v>0</v>
      </c>
      <c r="F55" s="10">
        <v>49.59</v>
      </c>
      <c r="G55" s="10">
        <v>0</v>
      </c>
    </row>
    <row r="56" spans="1:7" ht="15" customHeight="1" x14ac:dyDescent="0.3">
      <c r="A56" s="7">
        <v>46346</v>
      </c>
      <c r="B56" s="10">
        <f t="shared" si="0"/>
        <v>25383.550000000079</v>
      </c>
      <c r="C56" s="10">
        <v>25333.960000000079</v>
      </c>
      <c r="D56" s="10">
        <v>0</v>
      </c>
      <c r="E56" s="10">
        <v>0</v>
      </c>
      <c r="F56" s="10">
        <v>49.59</v>
      </c>
      <c r="G56" s="10">
        <v>0</v>
      </c>
    </row>
    <row r="57" spans="1:7" ht="15" customHeight="1" x14ac:dyDescent="0.3">
      <c r="A57" s="7">
        <v>46376</v>
      </c>
      <c r="B57" s="10">
        <f t="shared" si="0"/>
        <v>25391.350000000079</v>
      </c>
      <c r="C57" s="10">
        <v>25333.960000000079</v>
      </c>
      <c r="D57" s="10">
        <v>0</v>
      </c>
      <c r="E57" s="10">
        <v>0</v>
      </c>
      <c r="F57" s="10">
        <v>57.390000000000008</v>
      </c>
      <c r="G57" s="10">
        <v>0</v>
      </c>
    </row>
    <row r="58" spans="1:7" ht="15" customHeight="1" x14ac:dyDescent="0.3">
      <c r="A58" s="7">
        <v>46407</v>
      </c>
      <c r="B58" s="10">
        <f t="shared" si="0"/>
        <v>25391.350000000079</v>
      </c>
      <c r="C58" s="10">
        <v>25333.960000000079</v>
      </c>
      <c r="D58" s="10">
        <v>0</v>
      </c>
      <c r="E58" s="10">
        <v>0</v>
      </c>
      <c r="F58" s="10">
        <v>57.390000000000008</v>
      </c>
      <c r="G58" s="10">
        <v>0</v>
      </c>
    </row>
    <row r="59" spans="1:7" ht="15" customHeight="1" x14ac:dyDescent="0.3">
      <c r="A59" s="7">
        <v>46438</v>
      </c>
      <c r="B59" s="10">
        <f t="shared" si="0"/>
        <v>25644.710000000079</v>
      </c>
      <c r="C59" s="10">
        <v>25333.960000000079</v>
      </c>
      <c r="D59" s="10">
        <v>253.36</v>
      </c>
      <c r="E59" s="10">
        <v>0</v>
      </c>
      <c r="F59" s="10">
        <v>57.390000000000008</v>
      </c>
      <c r="G59" s="10">
        <v>0</v>
      </c>
    </row>
    <row r="60" spans="1:7" ht="15" customHeight="1" x14ac:dyDescent="0.3">
      <c r="A60" s="7">
        <v>46466</v>
      </c>
      <c r="B60" s="10">
        <f t="shared" si="0"/>
        <v>25654.700000000081</v>
      </c>
      <c r="C60" s="10">
        <v>25333.960000000079</v>
      </c>
      <c r="D60" s="10">
        <v>253.36</v>
      </c>
      <c r="E60" s="10">
        <v>0</v>
      </c>
      <c r="F60" s="10">
        <v>67.38000000000001</v>
      </c>
      <c r="G60" s="10">
        <v>0</v>
      </c>
    </row>
    <row r="61" spans="1:7" ht="15" customHeight="1" x14ac:dyDescent="0.3">
      <c r="A61" s="7">
        <v>46497</v>
      </c>
      <c r="B61" s="10">
        <f t="shared" si="0"/>
        <v>25654.700000000081</v>
      </c>
      <c r="C61" s="10">
        <v>25333.960000000079</v>
      </c>
      <c r="D61" s="10">
        <v>253.36</v>
      </c>
      <c r="E61" s="10">
        <v>0</v>
      </c>
      <c r="F61" s="10">
        <v>67.38000000000001</v>
      </c>
      <c r="G61" s="10">
        <v>0</v>
      </c>
    </row>
    <row r="62" spans="1:7" ht="15" customHeight="1" x14ac:dyDescent="0.3">
      <c r="A62" s="7">
        <v>46527</v>
      </c>
      <c r="B62" s="10">
        <f t="shared" si="0"/>
        <v>25654.700000000081</v>
      </c>
      <c r="C62" s="10">
        <v>25333.960000000079</v>
      </c>
      <c r="D62" s="10">
        <v>253.36</v>
      </c>
      <c r="E62" s="10">
        <v>0</v>
      </c>
      <c r="F62" s="10">
        <v>67.38000000000001</v>
      </c>
      <c r="G62" s="10">
        <v>0</v>
      </c>
    </row>
    <row r="63" spans="1:7" ht="15" customHeight="1" x14ac:dyDescent="0.3">
      <c r="A63" s="7">
        <v>46558</v>
      </c>
      <c r="B63" s="10">
        <f t="shared" si="0"/>
        <v>25654.700000000081</v>
      </c>
      <c r="C63" s="10">
        <v>25333.960000000079</v>
      </c>
      <c r="D63" s="10">
        <v>253.36</v>
      </c>
      <c r="E63" s="10">
        <v>0</v>
      </c>
      <c r="F63" s="10">
        <v>67.38000000000001</v>
      </c>
      <c r="G63" s="10">
        <v>0</v>
      </c>
    </row>
    <row r="64" spans="1:7" ht="15" customHeight="1" x14ac:dyDescent="0.3">
      <c r="A64" s="7">
        <v>46588</v>
      </c>
      <c r="B64" s="10">
        <f t="shared" si="0"/>
        <v>25664.690000000079</v>
      </c>
      <c r="C64" s="10">
        <v>25333.960000000079</v>
      </c>
      <c r="D64" s="10">
        <v>253.36</v>
      </c>
      <c r="E64" s="10">
        <v>0</v>
      </c>
      <c r="F64" s="10">
        <v>77.37</v>
      </c>
      <c r="G64" s="10">
        <v>0</v>
      </c>
    </row>
    <row r="65" spans="1:7" ht="15" customHeight="1" x14ac:dyDescent="0.3">
      <c r="A65" s="7">
        <v>46619</v>
      </c>
      <c r="B65" s="10">
        <f t="shared" si="0"/>
        <v>25664.690000000079</v>
      </c>
      <c r="C65" s="10">
        <v>25333.960000000079</v>
      </c>
      <c r="D65" s="10">
        <v>253.36</v>
      </c>
      <c r="E65" s="10">
        <v>0</v>
      </c>
      <c r="F65" s="10">
        <v>77.37</v>
      </c>
      <c r="G65" s="10">
        <v>0</v>
      </c>
    </row>
    <row r="66" spans="1:7" ht="15" customHeight="1" x14ac:dyDescent="0.3">
      <c r="A66" s="7">
        <v>46650</v>
      </c>
      <c r="B66" s="10">
        <f t="shared" si="0"/>
        <v>25674.68000000008</v>
      </c>
      <c r="C66" s="10">
        <v>25333.960000000079</v>
      </c>
      <c r="D66" s="10">
        <v>253.36</v>
      </c>
      <c r="E66" s="10">
        <v>0</v>
      </c>
      <c r="F66" s="10">
        <v>87.36</v>
      </c>
      <c r="G66" s="10">
        <v>0</v>
      </c>
    </row>
    <row r="67" spans="1:7" ht="15" customHeight="1" x14ac:dyDescent="0.3">
      <c r="A67" s="7">
        <v>46680</v>
      </c>
      <c r="B67" s="10">
        <f t="shared" si="0"/>
        <v>25674.68000000008</v>
      </c>
      <c r="C67" s="10">
        <v>25333.960000000079</v>
      </c>
      <c r="D67" s="10">
        <v>253.36</v>
      </c>
      <c r="E67" s="10">
        <v>0</v>
      </c>
      <c r="F67" s="10">
        <v>87.36</v>
      </c>
      <c r="G67" s="10">
        <v>0</v>
      </c>
    </row>
    <row r="68" spans="1:7" ht="15" customHeight="1" x14ac:dyDescent="0.3">
      <c r="A68" s="7">
        <v>46711</v>
      </c>
      <c r="B68" s="10">
        <f t="shared" si="0"/>
        <v>25674.68000000008</v>
      </c>
      <c r="C68" s="10">
        <v>25333.960000000079</v>
      </c>
      <c r="D68" s="10">
        <v>253.36</v>
      </c>
      <c r="E68" s="10">
        <v>0</v>
      </c>
      <c r="F68" s="10">
        <v>87.36</v>
      </c>
      <c r="G68" s="10">
        <v>0</v>
      </c>
    </row>
    <row r="69" spans="1:7" ht="15" customHeight="1" x14ac:dyDescent="0.3">
      <c r="A69" s="7">
        <v>46741</v>
      </c>
      <c r="B69" s="10">
        <f t="shared" si="0"/>
        <v>26778.68000000008</v>
      </c>
      <c r="C69" s="10">
        <v>25333.960000000079</v>
      </c>
      <c r="D69" s="10">
        <v>253.36</v>
      </c>
      <c r="E69" s="10">
        <v>1104</v>
      </c>
      <c r="F69" s="10">
        <v>87.36</v>
      </c>
      <c r="G69" s="10">
        <v>0</v>
      </c>
    </row>
    <row r="70" spans="1:7" ht="15" customHeight="1" x14ac:dyDescent="0.3">
      <c r="A70" s="7">
        <v>46772</v>
      </c>
      <c r="B70" s="10">
        <f t="shared" si="0"/>
        <v>28714.68000000008</v>
      </c>
      <c r="C70" s="10">
        <v>25333.960000000079</v>
      </c>
      <c r="D70" s="10">
        <v>253.36</v>
      </c>
      <c r="E70" s="10">
        <v>3040</v>
      </c>
      <c r="F70" s="10">
        <v>87.36</v>
      </c>
      <c r="G70" s="10">
        <v>0</v>
      </c>
    </row>
    <row r="71" spans="1:7" ht="15" customHeight="1" x14ac:dyDescent="0.3">
      <c r="A71" s="7">
        <v>46803</v>
      </c>
      <c r="B71" s="10">
        <f t="shared" si="0"/>
        <v>29284.68000000008</v>
      </c>
      <c r="C71" s="10">
        <v>25333.960000000079</v>
      </c>
      <c r="D71" s="10">
        <v>823.36</v>
      </c>
      <c r="E71" s="10">
        <v>3040</v>
      </c>
      <c r="F71" s="10">
        <v>87.36</v>
      </c>
      <c r="G71" s="10">
        <v>0</v>
      </c>
    </row>
    <row r="72" spans="1:7" ht="15" customHeight="1" x14ac:dyDescent="0.3">
      <c r="B72" s="10"/>
      <c r="C72" s="10"/>
      <c r="D72" s="10"/>
      <c r="E72" s="10"/>
      <c r="F72" s="10"/>
    </row>
    <row r="73" spans="1:7" ht="15" customHeight="1" x14ac:dyDescent="0.3">
      <c r="B73" s="10"/>
      <c r="C73" s="10"/>
      <c r="D73" s="10"/>
      <c r="E73" s="10"/>
      <c r="F73" s="10"/>
    </row>
    <row r="74" spans="1:7" ht="15" customHeight="1" x14ac:dyDescent="0.3">
      <c r="B74" s="10"/>
      <c r="C74" s="10"/>
      <c r="D74" s="10"/>
      <c r="E74" s="10"/>
      <c r="F74" s="10"/>
    </row>
    <row r="75" spans="1:7" ht="15" customHeight="1" x14ac:dyDescent="0.3">
      <c r="B75" s="10"/>
      <c r="C75" s="10"/>
      <c r="D75" s="10"/>
      <c r="E75" s="10"/>
      <c r="F75" s="10"/>
    </row>
    <row r="76" spans="1:7" ht="15" customHeight="1" x14ac:dyDescent="0.3">
      <c r="B76" s="10"/>
      <c r="C76" s="10"/>
      <c r="D76" s="10"/>
      <c r="E76" s="10"/>
      <c r="F76" s="10"/>
    </row>
    <row r="87" spans="1:7" ht="15" customHeight="1" x14ac:dyDescent="0.3">
      <c r="A87" s="7"/>
      <c r="B87" s="10"/>
      <c r="C87" s="10"/>
      <c r="D87" s="10"/>
      <c r="E87" s="10"/>
      <c r="F87" s="10"/>
      <c r="G87" s="10"/>
    </row>
    <row r="88" spans="1:7" ht="15" customHeight="1" x14ac:dyDescent="0.3">
      <c r="A88" s="7"/>
      <c r="B88" s="10"/>
      <c r="C88" s="10"/>
      <c r="D88" s="10"/>
      <c r="E88" s="10"/>
      <c r="F88" s="10"/>
      <c r="G88" s="10"/>
    </row>
    <row r="89" spans="1:7" ht="15" customHeight="1" x14ac:dyDescent="0.3">
      <c r="A89" s="7"/>
      <c r="B89" s="10"/>
      <c r="C89" s="10"/>
      <c r="D89" s="10"/>
      <c r="E89" s="10"/>
      <c r="F89" s="10"/>
      <c r="G89" s="10"/>
    </row>
    <row r="90" spans="1:7" ht="15" customHeight="1" x14ac:dyDescent="0.3">
      <c r="A90" s="7"/>
      <c r="B90" s="10"/>
      <c r="C90" s="10"/>
      <c r="D90" s="10"/>
      <c r="E90" s="10"/>
      <c r="F90" s="10"/>
      <c r="G90" s="10"/>
    </row>
    <row r="91" spans="1:7" ht="15" customHeight="1" x14ac:dyDescent="0.3">
      <c r="A91" s="7"/>
      <c r="B91" s="10"/>
      <c r="C91" s="10"/>
      <c r="D91" s="10"/>
      <c r="E91" s="10"/>
      <c r="F91" s="10"/>
      <c r="G91" s="10"/>
    </row>
    <row r="92" spans="1:7" ht="15" customHeight="1" x14ac:dyDescent="0.3">
      <c r="A92" s="7"/>
      <c r="B92" s="10"/>
      <c r="C92" s="10"/>
      <c r="D92" s="10"/>
      <c r="E92" s="10"/>
      <c r="F92" s="10"/>
      <c r="G92" s="10"/>
    </row>
    <row r="93" spans="1:7" ht="15" customHeight="1" x14ac:dyDescent="0.3">
      <c r="A93" s="7"/>
      <c r="B93" s="10"/>
      <c r="C93" s="10"/>
      <c r="D93" s="10"/>
      <c r="E93" s="10"/>
      <c r="F93" s="10"/>
      <c r="G93" s="10"/>
    </row>
    <row r="94" spans="1:7" ht="15" customHeight="1" x14ac:dyDescent="0.3">
      <c r="A94" s="7"/>
      <c r="B94" s="10"/>
      <c r="C94" s="10"/>
      <c r="D94" s="10"/>
      <c r="E94" s="10"/>
      <c r="F94" s="10"/>
      <c r="G94" s="10"/>
    </row>
    <row r="95" spans="1:7" ht="15" customHeight="1" x14ac:dyDescent="0.3">
      <c r="A95" s="7"/>
      <c r="B95" s="10"/>
      <c r="C95" s="10"/>
      <c r="D95" s="10"/>
      <c r="E95" s="10"/>
      <c r="F95" s="10"/>
      <c r="G95" s="10"/>
    </row>
    <row r="96" spans="1:7" ht="15" customHeight="1" x14ac:dyDescent="0.3">
      <c r="A96" s="7"/>
      <c r="B96" s="10"/>
      <c r="C96" s="10"/>
      <c r="D96" s="10"/>
      <c r="E96" s="10"/>
      <c r="F96" s="10"/>
      <c r="G96" s="10"/>
    </row>
    <row r="97" spans="1:7" ht="15" customHeight="1" x14ac:dyDescent="0.3">
      <c r="A97" s="7"/>
      <c r="B97" s="10"/>
      <c r="C97" s="10"/>
      <c r="D97" s="10"/>
      <c r="E97" s="10"/>
      <c r="F97" s="10"/>
      <c r="G97" s="10"/>
    </row>
    <row r="98" spans="1:7" ht="15" customHeight="1" x14ac:dyDescent="0.3">
      <c r="A98" s="7"/>
      <c r="B98" s="10"/>
      <c r="C98" s="10"/>
      <c r="D98" s="10"/>
      <c r="E98" s="10"/>
      <c r="F98" s="10"/>
      <c r="G98" s="10"/>
    </row>
    <row r="99" spans="1:7" ht="15" customHeight="1" x14ac:dyDescent="0.3">
      <c r="A99" s="7"/>
      <c r="B99" s="10"/>
      <c r="C99" s="10"/>
      <c r="D99" s="10"/>
      <c r="E99" s="10"/>
      <c r="F99" s="10"/>
      <c r="G99" s="10"/>
    </row>
    <row r="100" spans="1:7" ht="15" customHeight="1" x14ac:dyDescent="0.3">
      <c r="A100" s="7"/>
      <c r="B100" s="10"/>
      <c r="C100" s="10"/>
      <c r="D100" s="10"/>
      <c r="E100" s="10"/>
      <c r="F100" s="10"/>
      <c r="G100" s="10"/>
    </row>
    <row r="101" spans="1:7" ht="15" customHeight="1" x14ac:dyDescent="0.3">
      <c r="A101" s="7"/>
      <c r="B101" s="10"/>
      <c r="C101" s="10"/>
      <c r="D101" s="10"/>
      <c r="E101" s="10"/>
      <c r="F101" s="10"/>
      <c r="G101" s="10"/>
    </row>
    <row r="102" spans="1:7" ht="15" customHeight="1" x14ac:dyDescent="0.3">
      <c r="A102" s="7"/>
      <c r="B102" s="10"/>
      <c r="C102" s="10"/>
      <c r="D102" s="10"/>
      <c r="E102" s="10"/>
      <c r="F102" s="10"/>
      <c r="G102" s="10"/>
    </row>
    <row r="103" spans="1:7" ht="15" customHeight="1" x14ac:dyDescent="0.3">
      <c r="A103" s="7"/>
      <c r="B103" s="10"/>
      <c r="C103" s="10"/>
      <c r="D103" s="10"/>
      <c r="E103" s="10"/>
      <c r="F103" s="10"/>
      <c r="G103" s="10"/>
    </row>
    <row r="104" spans="1:7" ht="15" customHeight="1" x14ac:dyDescent="0.3">
      <c r="B104" s="11"/>
      <c r="C104" s="11"/>
      <c r="D104" s="11"/>
      <c r="E104" s="11"/>
      <c r="F104" s="11"/>
    </row>
    <row r="105" spans="1:7" ht="15" customHeight="1" x14ac:dyDescent="0.3">
      <c r="B105" s="13"/>
      <c r="C105" s="13"/>
      <c r="D105" s="13"/>
      <c r="E105" s="13"/>
      <c r="F105" s="13"/>
    </row>
    <row r="106" spans="1:7" ht="15" customHeight="1" x14ac:dyDescent="0.3">
      <c r="B106" s="13"/>
      <c r="C106" s="13"/>
      <c r="D106" s="13"/>
      <c r="E106" s="13"/>
      <c r="F106" s="13"/>
    </row>
    <row r="107" spans="1:7" ht="15" customHeight="1" x14ac:dyDescent="0.3">
      <c r="B107" s="13"/>
      <c r="C107" s="13"/>
      <c r="D107" s="13"/>
      <c r="E107" s="13"/>
      <c r="F107" s="13"/>
    </row>
    <row r="108" spans="1:7" ht="15" customHeight="1" x14ac:dyDescent="0.3">
      <c r="B108" s="13"/>
      <c r="C108" s="13"/>
      <c r="D108" s="13"/>
      <c r="E108" s="13"/>
      <c r="F108" s="13"/>
    </row>
    <row r="109" spans="1:7" ht="15" customHeight="1" x14ac:dyDescent="0.3">
      <c r="B109" s="13"/>
      <c r="C109" s="13"/>
      <c r="D109" s="13"/>
      <c r="E109" s="13"/>
      <c r="F109" s="13"/>
    </row>
    <row r="110" spans="1:7" ht="15" customHeight="1" x14ac:dyDescent="0.3">
      <c r="B110" s="13"/>
      <c r="C110" s="13"/>
      <c r="D110" s="13"/>
      <c r="E110" s="13"/>
      <c r="F110" s="13"/>
    </row>
    <row r="111" spans="1:7" ht="15" customHeight="1" x14ac:dyDescent="0.3">
      <c r="B111" s="13"/>
      <c r="C111" s="13"/>
      <c r="D111" s="13"/>
      <c r="E111" s="13"/>
      <c r="F111" s="13"/>
    </row>
    <row r="112" spans="1:7" ht="15" customHeight="1" x14ac:dyDescent="0.3">
      <c r="B112" s="13"/>
      <c r="C112" s="13"/>
      <c r="D112" s="13"/>
      <c r="E112" s="13"/>
      <c r="F112" s="13"/>
    </row>
    <row r="113" spans="2:6" ht="15" customHeight="1" x14ac:dyDescent="0.3">
      <c r="B113" s="13"/>
      <c r="C113" s="13"/>
      <c r="D113" s="13"/>
      <c r="E113" s="13"/>
      <c r="F113" s="13"/>
    </row>
    <row r="114" spans="2:6" ht="15" customHeight="1" x14ac:dyDescent="0.3">
      <c r="B114" s="13"/>
      <c r="C114" s="13"/>
      <c r="D114" s="13"/>
      <c r="E114" s="13"/>
      <c r="F114" s="13"/>
    </row>
    <row r="115" spans="2:6" ht="15" customHeight="1" x14ac:dyDescent="0.3">
      <c r="B115" s="13"/>
      <c r="C115" s="13"/>
      <c r="D115" s="13"/>
      <c r="E115" s="13"/>
      <c r="F115" s="13"/>
    </row>
    <row r="116" spans="2:6" ht="15" customHeight="1" x14ac:dyDescent="0.3">
      <c r="B116" s="13"/>
      <c r="C116" s="13"/>
      <c r="D116" s="13"/>
      <c r="E116" s="13"/>
      <c r="F116" s="13"/>
    </row>
    <row r="117" spans="2:6" ht="15" customHeight="1" x14ac:dyDescent="0.3">
      <c r="B117" s="13"/>
      <c r="C117" s="13"/>
      <c r="D117" s="13"/>
      <c r="E117" s="13"/>
      <c r="F117" s="13"/>
    </row>
    <row r="118" spans="2:6" ht="15" customHeight="1" x14ac:dyDescent="0.3">
      <c r="B118" s="13"/>
      <c r="C118" s="13"/>
      <c r="D118" s="13"/>
      <c r="E118" s="13"/>
      <c r="F118" s="13"/>
    </row>
    <row r="119" spans="2:6" ht="15" customHeight="1" x14ac:dyDescent="0.3">
      <c r="B119" s="13"/>
      <c r="C119" s="13"/>
      <c r="D119" s="13"/>
      <c r="E119" s="13"/>
      <c r="F119" s="13"/>
    </row>
    <row r="120" spans="2:6" ht="15" customHeight="1" x14ac:dyDescent="0.3">
      <c r="B120" s="13"/>
      <c r="C120" s="13"/>
      <c r="D120" s="13"/>
      <c r="E120" s="13"/>
      <c r="F120" s="13"/>
    </row>
    <row r="121" spans="2:6" ht="15" customHeight="1" x14ac:dyDescent="0.3">
      <c r="B121" s="13"/>
      <c r="C121" s="13"/>
      <c r="D121" s="13"/>
      <c r="E121" s="13"/>
      <c r="F121" s="13"/>
    </row>
    <row r="122" spans="2:6" ht="15" customHeight="1" x14ac:dyDescent="0.3">
      <c r="B122" s="13"/>
      <c r="C122" s="13"/>
      <c r="D122" s="13"/>
      <c r="E122" s="13"/>
      <c r="F122" s="13"/>
    </row>
  </sheetData>
  <sortState xmlns:xlrd2="http://schemas.microsoft.com/office/spreadsheetml/2017/richdata2" ref="I41:S59">
    <sortCondition ref="K41:K59"/>
  </sortState>
  <pageMargins left="0.7" right="0.7" top="0.75" bottom="0.75" header="0.3" footer="0.3"/>
  <pageSetup scale="4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Wind Chart</vt:lpstr>
      <vt:lpstr>Solar Chart</vt:lpstr>
      <vt:lpstr>Battery Chart</vt:lpstr>
      <vt:lpstr>Gas-Combined Cycle Chart</vt:lpstr>
      <vt:lpstr>Gas-Other Chart</vt:lpstr>
    </vt:vector>
  </TitlesOfParts>
  <Company>The Electric Reliability Council of Texas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Khodabakhsh, Fred</dc:creator>
  <cp:lastModifiedBy>Vickery, Tyler</cp:lastModifiedBy>
  <dcterms:created xsi:type="dcterms:W3CDTF">2021-12-02T22:16:05Z</dcterms:created>
  <dcterms:modified xsi:type="dcterms:W3CDTF">2026-10-05T17:19:19Z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2023-08-02T20:46:00Z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b5f0a377-33c3-469c-a1ca-ad5b52f9422c</vt:lpwstr>
  </property>
  <property fmtid="{D5CDD505-2E9C-101B-9397-08002B2CF9AE}" pid="8" name="MSIP_Label_7084cbda-52b8-46fb-a7b7-cb5bd465ed85_ContentBits">
    <vt:lpwstr>0</vt:lpwstr>
  </property>
</Properties>
</file>